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F:\##Paper2\数据整理\OT_QCM2Net\"/>
    </mc:Choice>
  </mc:AlternateContent>
  <xr:revisionPtr revIDLastSave="0" documentId="13_ncr:1_{C4A5208A-6047-4D33-AC8B-4CEB9C5C0845}" xr6:coauthVersionLast="47" xr6:coauthVersionMax="47" xr10:uidLastSave="{00000000-0000-0000-0000-000000000000}"/>
  <bookViews>
    <workbookView xWindow="14700" yWindow="645" windowWidth="13995" windowHeight="14550" activeTab="2" xr2:uid="{00000000-000D-0000-FFFF-FFFF00000000}"/>
  </bookViews>
  <sheets>
    <sheet name="celegans" sheetId="1" r:id="rId1"/>
    <sheet name="human" sheetId="2" r:id="rId2"/>
    <sheet name="Article" sheetId="3" r:id="rId3"/>
    <sheet name="Pat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4" l="1"/>
  <c r="F25" i="4"/>
  <c r="G25" i="4"/>
  <c r="H25" i="4"/>
  <c r="I25" i="4"/>
  <c r="J25" i="4"/>
  <c r="K25" i="4"/>
  <c r="K31" i="4"/>
  <c r="J31" i="4"/>
  <c r="I31" i="4"/>
  <c r="H31" i="4"/>
  <c r="G31" i="4"/>
  <c r="F31" i="4"/>
  <c r="E31" i="4"/>
  <c r="K19" i="4"/>
  <c r="J19" i="4"/>
  <c r="I19" i="4"/>
  <c r="H19" i="4"/>
  <c r="G19" i="4"/>
  <c r="F19" i="4"/>
  <c r="E19" i="4"/>
  <c r="K13" i="4"/>
  <c r="J13" i="4"/>
  <c r="I13" i="4"/>
  <c r="H13" i="4"/>
  <c r="G13" i="4"/>
  <c r="F13" i="4"/>
  <c r="E13" i="4"/>
  <c r="K7" i="4"/>
  <c r="J7" i="4"/>
  <c r="I7" i="4"/>
  <c r="H7" i="4"/>
  <c r="G7" i="4"/>
  <c r="F7" i="4"/>
  <c r="E7" i="4"/>
  <c r="K31" i="3"/>
  <c r="J31" i="3"/>
  <c r="I31" i="3"/>
  <c r="H31" i="3"/>
  <c r="G31" i="3"/>
  <c r="F31" i="3"/>
  <c r="E31" i="3"/>
  <c r="K25" i="3"/>
  <c r="J25" i="3"/>
  <c r="I25" i="3"/>
  <c r="H25" i="3"/>
  <c r="G25" i="3"/>
  <c r="F25" i="3"/>
  <c r="E25" i="3"/>
  <c r="K19" i="3"/>
  <c r="J19" i="3"/>
  <c r="I19" i="3"/>
  <c r="H19" i="3"/>
  <c r="G19" i="3"/>
  <c r="F19" i="3"/>
  <c r="E19" i="3"/>
  <c r="K13" i="3"/>
  <c r="J13" i="3"/>
  <c r="I13" i="3"/>
  <c r="H13" i="3"/>
  <c r="G13" i="3"/>
  <c r="F13" i="3"/>
  <c r="E13" i="3"/>
  <c r="K7" i="3"/>
  <c r="J7" i="3"/>
  <c r="I7" i="3"/>
  <c r="H7" i="3"/>
  <c r="G7" i="3"/>
  <c r="F7" i="3"/>
  <c r="E7" i="3"/>
  <c r="K31" i="2"/>
  <c r="J31" i="2"/>
  <c r="I31" i="2"/>
  <c r="H31" i="2"/>
  <c r="G31" i="2"/>
  <c r="F31" i="2"/>
  <c r="E31" i="2"/>
  <c r="K25" i="2"/>
  <c r="J25" i="2"/>
  <c r="I25" i="2"/>
  <c r="H25" i="2"/>
  <c r="G25" i="2"/>
  <c r="F25" i="2"/>
  <c r="E25" i="2"/>
  <c r="K19" i="2"/>
  <c r="J19" i="2"/>
  <c r="I19" i="2"/>
  <c r="H19" i="2"/>
  <c r="G19" i="2"/>
  <c r="F19" i="2"/>
  <c r="E19" i="2"/>
  <c r="K13" i="2"/>
  <c r="J13" i="2"/>
  <c r="I13" i="2"/>
  <c r="H13" i="2"/>
  <c r="G13" i="2"/>
  <c r="F13" i="2"/>
  <c r="E13" i="2"/>
  <c r="K7" i="2"/>
  <c r="J7" i="2"/>
  <c r="I7" i="2"/>
  <c r="H7" i="2"/>
  <c r="G7" i="2"/>
  <c r="F7" i="2"/>
  <c r="E7" i="2"/>
  <c r="F31" i="1"/>
  <c r="G31" i="1"/>
  <c r="H31" i="1"/>
  <c r="I31" i="1"/>
  <c r="J31" i="1"/>
  <c r="K31" i="1"/>
  <c r="E31" i="1"/>
  <c r="F25" i="1"/>
  <c r="G25" i="1"/>
  <c r="H25" i="1"/>
  <c r="I25" i="1"/>
  <c r="J25" i="1"/>
  <c r="K25" i="1"/>
  <c r="E25" i="1"/>
  <c r="F19" i="1"/>
  <c r="G19" i="1"/>
  <c r="H19" i="1"/>
  <c r="I19" i="1"/>
  <c r="J19" i="1"/>
  <c r="K19" i="1"/>
  <c r="E19" i="1"/>
  <c r="F13" i="1"/>
  <c r="G13" i="1"/>
  <c r="H13" i="1"/>
  <c r="I13" i="1"/>
  <c r="J13" i="1"/>
  <c r="K13" i="1"/>
  <c r="E13" i="1"/>
  <c r="F7" i="1"/>
  <c r="G7" i="1"/>
  <c r="H7" i="1"/>
  <c r="I7" i="1"/>
  <c r="J7" i="1"/>
  <c r="K7" i="1"/>
  <c r="E7" i="1"/>
</calcChain>
</file>

<file path=xl/sharedStrings.xml><?xml version="1.0" encoding="utf-8"?>
<sst xmlns="http://schemas.openxmlformats.org/spreadsheetml/2006/main" count="244" uniqueCount="20">
  <si>
    <t>Dataset</t>
  </si>
  <si>
    <t>Split</t>
  </si>
  <si>
    <t>Seed</t>
  </si>
  <si>
    <t>BestEpoch</t>
  </si>
  <si>
    <t>AUC_Test</t>
  </si>
  <si>
    <t>PRAUC_Test</t>
  </si>
  <si>
    <t>AUPRC_Test</t>
  </si>
  <si>
    <t>Precision_Test</t>
  </si>
  <si>
    <t>Recall_Test</t>
  </si>
  <si>
    <t>Accuracy_Test</t>
  </si>
  <si>
    <t>F1_Test</t>
  </si>
  <si>
    <t>celegans</t>
  </si>
  <si>
    <t>random</t>
  </si>
  <si>
    <t>cold_smiles</t>
  </si>
  <si>
    <t>cold_protein</t>
  </si>
  <si>
    <t>cold_both</t>
  </si>
  <si>
    <t>cluster</t>
  </si>
  <si>
    <t>human</t>
    <phoneticPr fontId="25" type="noConversion"/>
  </si>
  <si>
    <t>Article</t>
    <phoneticPr fontId="25" type="noConversion"/>
  </si>
  <si>
    <t>Patent</t>
    <phoneticPr fontId="2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</si>
</sst>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3">
    <xf numFmtId="0" fontId="0" fillId="0" borderId="0"/>
    <xf numFmtId="0" fontId="9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8" borderId="8" applyNumberFormat="0" applyFont="0" applyAlignment="0" applyProtection="0">
      <alignment vertical="center"/>
    </xf>
    <xf numFmtId="0" fontId="5" fillId="0" borderId="0">
      <alignment vertical="center"/>
    </xf>
    <xf numFmtId="0" fontId="5" fillId="8" borderId="8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8" borderId="8" applyNumberFormat="0" applyFont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8" borderId="8" applyNumberFormat="0" applyFont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8" borderId="8" applyNumberFormat="0" applyFon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8" fillId="0" borderId="0" xfId="41">
      <alignment vertical="center"/>
    </xf>
    <xf numFmtId="0" fontId="7" fillId="0" borderId="0" xfId="41" applyFont="1">
      <alignment vertical="center"/>
    </xf>
    <xf numFmtId="0" fontId="6" fillId="0" borderId="0" xfId="41" applyFont="1">
      <alignment vertical="center"/>
    </xf>
    <xf numFmtId="0" fontId="0" fillId="0" borderId="0" xfId="0" applyAlignment="1">
      <alignment vertical="center"/>
    </xf>
  </cellXfs>
  <cellStyles count="143">
    <cellStyle name="20% - 着色 1" xfId="18" builtinId="30" customBuiltin="1"/>
    <cellStyle name="20% - 着色 1 2" xfId="45" xr:uid="{631A7372-A942-4A52-BDED-97E4C6DB0408}"/>
    <cellStyle name="20% - 着色 1 3" xfId="65" xr:uid="{56AABC51-9393-4998-8DFD-9D883448C235}"/>
    <cellStyle name="20% - 着色 1 4" xfId="85" xr:uid="{CB84EA57-D6BF-4014-B0AA-2D5B9D16C222}"/>
    <cellStyle name="20% - 着色 1 5" xfId="105" xr:uid="{AFC892CB-3A61-490E-8D13-A6BB90DBA78E}"/>
    <cellStyle name="20% - 着色 1 6" xfId="125" xr:uid="{A1461F31-E7AF-4311-854B-0DD0C40E3C6C}"/>
    <cellStyle name="20% - 着色 2" xfId="22" builtinId="34" customBuiltin="1"/>
    <cellStyle name="20% - 着色 2 2" xfId="48" xr:uid="{6A4DC293-89CD-4019-862F-19221404CC3D}"/>
    <cellStyle name="20% - 着色 2 3" xfId="68" xr:uid="{70E8CAA7-A404-468C-922C-D38F8164043E}"/>
    <cellStyle name="20% - 着色 2 4" xfId="88" xr:uid="{5507E9B2-3FC8-4BCE-B08F-8A9EB643F584}"/>
    <cellStyle name="20% - 着色 2 5" xfId="108" xr:uid="{4B18CD4F-E694-4C1F-8ADC-3CF2C3893337}"/>
    <cellStyle name="20% - 着色 2 6" xfId="128" xr:uid="{335F97AA-B55F-4F0E-9D7E-B763D130EB12}"/>
    <cellStyle name="20% - 着色 3" xfId="26" builtinId="38" customBuiltin="1"/>
    <cellStyle name="20% - 着色 3 2" xfId="51" xr:uid="{A8933B8F-B7BD-4069-A793-A567F4C456F4}"/>
    <cellStyle name="20% - 着色 3 3" xfId="71" xr:uid="{7510CD13-78D8-4417-89E6-5FB19CE81182}"/>
    <cellStyle name="20% - 着色 3 4" xfId="91" xr:uid="{8685F12C-954F-40D7-8C88-8C4EB3110018}"/>
    <cellStyle name="20% - 着色 3 5" xfId="111" xr:uid="{234E29D2-E6E6-461B-8A8B-9A1A9E60B46D}"/>
    <cellStyle name="20% - 着色 3 6" xfId="131" xr:uid="{FEED36D1-4D3D-4DDB-88D1-1B56DD58CE7F}"/>
    <cellStyle name="20% - 着色 4" xfId="30" builtinId="42" customBuiltin="1"/>
    <cellStyle name="20% - 着色 4 2" xfId="54" xr:uid="{659BC925-A1C0-4C2B-8B95-A0D3951A1948}"/>
    <cellStyle name="20% - 着色 4 3" xfId="74" xr:uid="{5600C31C-03BB-4868-9FAF-AA20E501B9B3}"/>
    <cellStyle name="20% - 着色 4 4" xfId="94" xr:uid="{DB8BBC72-CC6B-4A78-98E5-D47A76900BF2}"/>
    <cellStyle name="20% - 着色 4 5" xfId="114" xr:uid="{61CB142A-206E-47AF-B207-D1F5A1B5B412}"/>
    <cellStyle name="20% - 着色 4 6" xfId="134" xr:uid="{58B17B6B-B61B-48B6-A220-49B07BF124A4}"/>
    <cellStyle name="20% - 着色 5" xfId="34" builtinId="46" customBuiltin="1"/>
    <cellStyle name="20% - 着色 5 2" xfId="57" xr:uid="{90EF5071-6EFE-4782-AF86-9ECB5F4238E4}"/>
    <cellStyle name="20% - 着色 5 3" xfId="77" xr:uid="{F1181EA4-7FD0-4E3B-B002-485D1C01DFE0}"/>
    <cellStyle name="20% - 着色 5 4" xfId="97" xr:uid="{0DEAD9ED-B107-4340-A9D4-ACD2C477DEB6}"/>
    <cellStyle name="20% - 着色 5 5" xfId="117" xr:uid="{F528A756-AE66-486B-84F7-9E9B3EC7011B}"/>
    <cellStyle name="20% - 着色 5 6" xfId="137" xr:uid="{5FEAB2C2-E2E0-4EF0-9B81-2C46599DB0C1}"/>
    <cellStyle name="20% - 着色 6" xfId="38" builtinId="50" customBuiltin="1"/>
    <cellStyle name="20% - 着色 6 2" xfId="60" xr:uid="{262DC657-0A65-4157-BDEE-39B1F2F234D4}"/>
    <cellStyle name="20% - 着色 6 3" xfId="80" xr:uid="{D6525EAD-5066-45D6-86ED-0E0E21172AD5}"/>
    <cellStyle name="20% - 着色 6 4" xfId="100" xr:uid="{5AD7AEBE-92F6-44A6-9CF7-228F669645F3}"/>
    <cellStyle name="20% - 着色 6 5" xfId="120" xr:uid="{A9211D6D-63B9-40D5-94D4-76360DB55852}"/>
    <cellStyle name="20% - 着色 6 6" xfId="140" xr:uid="{FC9C5CFF-0AE1-4FC3-91CD-CE36139D9F65}"/>
    <cellStyle name="40% - 着色 1" xfId="19" builtinId="31" customBuiltin="1"/>
    <cellStyle name="40% - 着色 1 2" xfId="46" xr:uid="{CD65E19E-1BA1-47B1-AEA1-0968D6FD55CE}"/>
    <cellStyle name="40% - 着色 1 3" xfId="66" xr:uid="{6685EC54-982F-4AEB-A492-3A7D491EA975}"/>
    <cellStyle name="40% - 着色 1 4" xfId="86" xr:uid="{37A31E1A-9039-45EC-8B3E-32FD1205FC36}"/>
    <cellStyle name="40% - 着色 1 5" xfId="106" xr:uid="{5BBD7BF1-EA65-4507-B1B5-D2333231BB78}"/>
    <cellStyle name="40% - 着色 1 6" xfId="126" xr:uid="{E558EF9C-8291-4CA2-B880-9D8327D3946D}"/>
    <cellStyle name="40% - 着色 2" xfId="23" builtinId="35" customBuiltin="1"/>
    <cellStyle name="40% - 着色 2 2" xfId="49" xr:uid="{DAEB1DCD-E3F1-413F-882A-385BD42877D7}"/>
    <cellStyle name="40% - 着色 2 3" xfId="69" xr:uid="{8DD48D7A-65FC-4441-819D-E1B9BD89A9CD}"/>
    <cellStyle name="40% - 着色 2 4" xfId="89" xr:uid="{CDC87EEC-9FF2-422F-919A-DBA44F498FA4}"/>
    <cellStyle name="40% - 着色 2 5" xfId="109" xr:uid="{DACE0C3F-3BAC-4BDE-907D-7E4B347F5EF5}"/>
    <cellStyle name="40% - 着色 2 6" xfId="129" xr:uid="{50E17335-1784-4570-8BFB-CBC8EEA3DC3F}"/>
    <cellStyle name="40% - 着色 3" xfId="27" builtinId="39" customBuiltin="1"/>
    <cellStyle name="40% - 着色 3 2" xfId="52" xr:uid="{6DBD6CD2-C8D6-4F6E-855F-3A8F35E5B744}"/>
    <cellStyle name="40% - 着色 3 3" xfId="72" xr:uid="{78322575-F9A7-4657-BCBD-42369312B633}"/>
    <cellStyle name="40% - 着色 3 4" xfId="92" xr:uid="{4633610D-0F8E-4489-AB35-6BB16DBC38AD}"/>
    <cellStyle name="40% - 着色 3 5" xfId="112" xr:uid="{AD48368B-303B-4BA3-812F-CCBE4C4EEF8A}"/>
    <cellStyle name="40% - 着色 3 6" xfId="132" xr:uid="{A69DCCDE-5476-474E-90FF-F204CBBAEEDE}"/>
    <cellStyle name="40% - 着色 4" xfId="31" builtinId="43" customBuiltin="1"/>
    <cellStyle name="40% - 着色 4 2" xfId="55" xr:uid="{C11AB2BB-0922-41A0-B363-E596D28A20FD}"/>
    <cellStyle name="40% - 着色 4 3" xfId="75" xr:uid="{483EFE0A-C4B5-42FD-B50C-489E54A922D8}"/>
    <cellStyle name="40% - 着色 4 4" xfId="95" xr:uid="{3A3F0992-7EEA-4CD7-A062-A16FEA25C800}"/>
    <cellStyle name="40% - 着色 4 5" xfId="115" xr:uid="{5D2BBE6F-C54D-4F23-8007-A34638470011}"/>
    <cellStyle name="40% - 着色 4 6" xfId="135" xr:uid="{64528971-77B7-4223-B2C5-7A12B213D9C4}"/>
    <cellStyle name="40% - 着色 5" xfId="35" builtinId="47" customBuiltin="1"/>
    <cellStyle name="40% - 着色 5 2" xfId="58" xr:uid="{06864929-D609-4E5A-AC23-B991FB665BF2}"/>
    <cellStyle name="40% - 着色 5 3" xfId="78" xr:uid="{5F50EBDB-8A96-4F28-A7DC-B8F2D7E69841}"/>
    <cellStyle name="40% - 着色 5 4" xfId="98" xr:uid="{F2824923-6C4C-468B-A424-2CE085758F01}"/>
    <cellStyle name="40% - 着色 5 5" xfId="118" xr:uid="{202AD565-C482-404C-B397-B2EE73C75249}"/>
    <cellStyle name="40% - 着色 5 6" xfId="138" xr:uid="{1AD2B8D8-9F3A-4E39-9680-80C9CEC01AAB}"/>
    <cellStyle name="40% - 着色 6" xfId="39" builtinId="51" customBuiltin="1"/>
    <cellStyle name="40% - 着色 6 2" xfId="61" xr:uid="{38E09F43-2066-4B3B-8841-81B671097222}"/>
    <cellStyle name="40% - 着色 6 3" xfId="81" xr:uid="{4782943A-BD1D-4019-8B7B-87DD175B4031}"/>
    <cellStyle name="40% - 着色 6 4" xfId="101" xr:uid="{1BC64C9B-4BBC-4152-A238-24C96F560E8A}"/>
    <cellStyle name="40% - 着色 6 5" xfId="121" xr:uid="{AAC8FEB6-3145-43F8-A3A7-C68F89F1B60B}"/>
    <cellStyle name="40% - 着色 6 6" xfId="141" xr:uid="{969C935A-3AED-4BD0-868A-E703064B30D6}"/>
    <cellStyle name="60% - 着色 1" xfId="20" builtinId="32" customBuiltin="1"/>
    <cellStyle name="60% - 着色 1 2" xfId="47" xr:uid="{A554982A-5FD7-45B5-ABE1-4083A572DD7B}"/>
    <cellStyle name="60% - 着色 1 3" xfId="67" xr:uid="{FB2E2471-407A-4391-95D1-F5467775887E}"/>
    <cellStyle name="60% - 着色 1 4" xfId="87" xr:uid="{93C81AC1-ED28-47D7-A1BC-FF313BE44DED}"/>
    <cellStyle name="60% - 着色 1 5" xfId="107" xr:uid="{237413DC-50C4-49A3-83AD-64A748594CE8}"/>
    <cellStyle name="60% - 着色 1 6" xfId="127" xr:uid="{F5D3B3B4-41A2-436E-A169-D0C2DAEAE6DC}"/>
    <cellStyle name="60% - 着色 2" xfId="24" builtinId="36" customBuiltin="1"/>
    <cellStyle name="60% - 着色 2 2" xfId="50" xr:uid="{19BE0BEF-D624-4EE9-9257-834C0678019E}"/>
    <cellStyle name="60% - 着色 2 3" xfId="70" xr:uid="{BB437F35-03BF-4861-BD2B-B359A7A6067D}"/>
    <cellStyle name="60% - 着色 2 4" xfId="90" xr:uid="{86E6D2A1-475D-4170-AD40-25F26D16DF3E}"/>
    <cellStyle name="60% - 着色 2 5" xfId="110" xr:uid="{19BBC151-1C51-46FE-864B-3A78D3F93614}"/>
    <cellStyle name="60% - 着色 2 6" xfId="130" xr:uid="{EC369AD1-92E5-438B-8515-9CF2F5F9E6D9}"/>
    <cellStyle name="60% - 着色 3" xfId="28" builtinId="40" customBuiltin="1"/>
    <cellStyle name="60% - 着色 3 2" xfId="53" xr:uid="{A4D04FF9-8E5C-4D67-A59F-FBE0C5347AF7}"/>
    <cellStyle name="60% - 着色 3 3" xfId="73" xr:uid="{1428FAE4-E8C3-48D2-A11F-AC4235AB9290}"/>
    <cellStyle name="60% - 着色 3 4" xfId="93" xr:uid="{9BA5E2DD-686D-478D-941E-F6E0A64A88FA}"/>
    <cellStyle name="60% - 着色 3 5" xfId="113" xr:uid="{4088A86E-FD6E-49A2-9FF0-28782124006F}"/>
    <cellStyle name="60% - 着色 3 6" xfId="133" xr:uid="{06AF6C2B-E274-4C89-A367-357B36D3E905}"/>
    <cellStyle name="60% - 着色 4" xfId="32" builtinId="44" customBuiltin="1"/>
    <cellStyle name="60% - 着色 4 2" xfId="56" xr:uid="{C76605BB-D6D4-47C1-84A2-BD5EB42A8C3A}"/>
    <cellStyle name="60% - 着色 4 3" xfId="76" xr:uid="{B2E593C2-DA13-43E3-9A8D-66297A6BBE51}"/>
    <cellStyle name="60% - 着色 4 4" xfId="96" xr:uid="{801BA9F6-0E72-47FA-B219-430FAF59374D}"/>
    <cellStyle name="60% - 着色 4 5" xfId="116" xr:uid="{763DF44B-DFA1-4096-BB94-F6EEAEC3BD35}"/>
    <cellStyle name="60% - 着色 4 6" xfId="136" xr:uid="{961F640B-6A9F-4D87-9206-CAB58107BDAD}"/>
    <cellStyle name="60% - 着色 5" xfId="36" builtinId="48" customBuiltin="1"/>
    <cellStyle name="60% - 着色 5 2" xfId="59" xr:uid="{5F19B3F2-B248-4396-846D-637D4900097A}"/>
    <cellStyle name="60% - 着色 5 3" xfId="79" xr:uid="{1E386808-5C4A-4519-9E4E-DF2C58EF5A01}"/>
    <cellStyle name="60% - 着色 5 4" xfId="99" xr:uid="{444230EB-23EE-44C8-9705-868DBFC32204}"/>
    <cellStyle name="60% - 着色 5 5" xfId="119" xr:uid="{A3E03B2F-8C0E-4DE0-86D7-ABA7F9A5A29E}"/>
    <cellStyle name="60% - 着色 5 6" xfId="139" xr:uid="{8BB3DDF9-1740-4958-955C-56D9E46FC9AA}"/>
    <cellStyle name="60% - 着色 6" xfId="40" builtinId="52" customBuiltin="1"/>
    <cellStyle name="60% - 着色 6 2" xfId="62" xr:uid="{41359507-9234-473A-A2F2-205C3FCB5C20}"/>
    <cellStyle name="60% - 着色 6 3" xfId="82" xr:uid="{0DB6592A-7462-43CB-8996-0776D8351480}"/>
    <cellStyle name="60% - 着色 6 4" xfId="102" xr:uid="{60187D8F-F6F9-47D6-8278-A5ED76CC494C}"/>
    <cellStyle name="60% - 着色 6 5" xfId="122" xr:uid="{090319BF-6E96-4949-8402-5EE770C88507}"/>
    <cellStyle name="60% - 着色 6 6" xfId="142" xr:uid="{1C5DAFE4-3E6A-481B-8772-3A33300EA48A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9CF3D909-F7E9-47A7-BDB6-C6D0D623462C}"/>
    <cellStyle name="常规 3" xfId="43" xr:uid="{866F4CA7-96A3-4333-ACBD-729B68C796EC}"/>
    <cellStyle name="常规 4" xfId="63" xr:uid="{0B3FCBC7-2C4D-4396-8F4F-FBD42A224388}"/>
    <cellStyle name="常规 5" xfId="83" xr:uid="{41AAEAB9-F640-4E57-A46B-45A6552F286E}"/>
    <cellStyle name="常规 6" xfId="103" xr:uid="{64BFAC25-A285-4E4E-8F70-81AF628E281A}"/>
    <cellStyle name="常规 7" xfId="123" xr:uid="{A2196C91-3E5D-4AFE-8BD5-FA263357379B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8EAE4821-A933-46B2-BD81-B7B20FBFA1EB}"/>
    <cellStyle name="注释 3" xfId="44" xr:uid="{F9FCB5FD-24BD-4B3D-8B47-C3AF0C231D35}"/>
    <cellStyle name="注释 4" xfId="64" xr:uid="{D386D93C-D98E-4719-B26B-1DF3B9C79F7E}"/>
    <cellStyle name="注释 5" xfId="84" xr:uid="{7C3AD71C-EF84-4EC4-8DE7-A578B2FBF9C0}"/>
    <cellStyle name="注释 6" xfId="104" xr:uid="{730C0665-7725-489C-A345-F2B7E9C4418D}"/>
    <cellStyle name="注释 7" xfId="124" xr:uid="{4DA805FD-284D-48B0-B7C5-AC139773C1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D16" sqref="D16"/>
    </sheetView>
  </sheetViews>
  <sheetFormatPr defaultRowHeight="14.25"/>
  <cols>
    <col min="2" max="2" width="14.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1" t="s">
        <v>11</v>
      </c>
      <c r="B2" s="1" t="s">
        <v>12</v>
      </c>
      <c r="C2" s="1">
        <v>42</v>
      </c>
      <c r="D2" s="4">
        <v>23</v>
      </c>
      <c r="E2" s="4">
        <v>0.99209999999999998</v>
      </c>
      <c r="F2" s="4">
        <v>0.99119999999999997</v>
      </c>
      <c r="G2" s="4">
        <v>0.99119999999999997</v>
      </c>
      <c r="H2" s="4">
        <v>0.94550000000000001</v>
      </c>
      <c r="I2" s="4">
        <v>0.97070000000000001</v>
      </c>
      <c r="J2" s="4">
        <v>0.95889999999999997</v>
      </c>
      <c r="K2" s="4">
        <v>0.95789999999999997</v>
      </c>
    </row>
    <row r="3" spans="1:11">
      <c r="A3" s="1" t="s">
        <v>11</v>
      </c>
      <c r="B3" s="1" t="s">
        <v>12</v>
      </c>
      <c r="C3" s="1">
        <v>1234</v>
      </c>
      <c r="D3" s="4">
        <v>29</v>
      </c>
      <c r="E3" s="4">
        <v>0.99380000000000002</v>
      </c>
      <c r="F3" s="4">
        <v>0.99390000000000001</v>
      </c>
      <c r="G3" s="4">
        <v>0.99390000000000001</v>
      </c>
      <c r="H3" s="4">
        <v>0.9556</v>
      </c>
      <c r="I3" s="4">
        <v>0.97599999999999998</v>
      </c>
      <c r="J3" s="4">
        <v>0.96660000000000001</v>
      </c>
      <c r="K3" s="4">
        <v>0.9657</v>
      </c>
    </row>
    <row r="4" spans="1:11">
      <c r="A4" s="1" t="s">
        <v>11</v>
      </c>
      <c r="B4" s="1" t="s">
        <v>12</v>
      </c>
      <c r="C4" s="1">
        <v>2025</v>
      </c>
      <c r="D4" s="4">
        <v>30</v>
      </c>
      <c r="E4" s="4">
        <v>0.99429999999999996</v>
      </c>
      <c r="F4" s="4">
        <v>0.99419999999999997</v>
      </c>
      <c r="G4" s="4">
        <v>0.99419999999999997</v>
      </c>
      <c r="H4" s="4">
        <v>0.95530000000000004</v>
      </c>
      <c r="I4" s="4">
        <v>0.96799999999999997</v>
      </c>
      <c r="J4" s="4">
        <v>0.96279999999999999</v>
      </c>
      <c r="K4" s="4">
        <v>0.96160000000000001</v>
      </c>
    </row>
    <row r="5" spans="1:11">
      <c r="A5" s="1" t="s">
        <v>11</v>
      </c>
      <c r="B5" s="1" t="s">
        <v>12</v>
      </c>
      <c r="C5" s="1">
        <v>12345</v>
      </c>
      <c r="D5" s="4">
        <v>27</v>
      </c>
      <c r="E5" s="4">
        <v>0.99239999999999995</v>
      </c>
      <c r="F5" s="4">
        <v>0.99319999999999997</v>
      </c>
      <c r="G5" s="4">
        <v>0.99319999999999997</v>
      </c>
      <c r="H5" s="4">
        <v>0.93379999999999996</v>
      </c>
      <c r="I5" s="4">
        <v>0.97870000000000001</v>
      </c>
      <c r="J5" s="4">
        <v>0.95640000000000003</v>
      </c>
      <c r="K5" s="4">
        <v>0.95569999999999999</v>
      </c>
    </row>
    <row r="6" spans="1:11">
      <c r="A6" s="1" t="s">
        <v>11</v>
      </c>
      <c r="B6" s="1" t="s">
        <v>12</v>
      </c>
      <c r="C6" s="1">
        <v>666</v>
      </c>
      <c r="D6" s="4">
        <v>21</v>
      </c>
      <c r="E6" s="4">
        <v>0.99370000000000003</v>
      </c>
      <c r="F6" s="4">
        <v>0.99380000000000002</v>
      </c>
      <c r="G6" s="4">
        <v>0.99380000000000002</v>
      </c>
      <c r="H6" s="4">
        <v>0.96030000000000004</v>
      </c>
      <c r="I6" s="4">
        <v>0.96799999999999997</v>
      </c>
      <c r="J6" s="4">
        <v>0.96530000000000005</v>
      </c>
      <c r="K6" s="4">
        <v>0.96409999999999996</v>
      </c>
    </row>
    <row r="7" spans="1:11">
      <c r="A7" s="1"/>
      <c r="B7" s="1"/>
      <c r="C7" s="1"/>
      <c r="D7" s="1"/>
      <c r="E7" t="str">
        <f xml:space="preserve"> TEXT(AVERAGE(E2:E6),"0.0000") &amp; "±" &amp; TEXT(_xlfn.STDEV.S(E2:E6),"0.0000")</f>
        <v>0.9933±0.0010</v>
      </c>
      <c r="F7" t="str">
        <f t="shared" ref="F7:K7" si="0" xml:space="preserve"> TEXT(AVERAGE(F2:F6),"0.0000") &amp; "±" &amp; TEXT(_xlfn.STDEV.S(F2:F6),"0.0000")</f>
        <v>0.9933±0.0012</v>
      </c>
      <c r="G7" t="str">
        <f t="shared" si="0"/>
        <v>0.9933±0.0012</v>
      </c>
      <c r="H7" t="str">
        <f t="shared" si="0"/>
        <v>0.9501±0.0106</v>
      </c>
      <c r="I7" t="str">
        <f t="shared" si="0"/>
        <v>0.9723±0.0049</v>
      </c>
      <c r="J7" t="str">
        <f t="shared" si="0"/>
        <v>0.9620±0.0043</v>
      </c>
      <c r="K7" t="str">
        <f t="shared" si="0"/>
        <v>0.9610±0.0042</v>
      </c>
    </row>
    <row r="8" spans="1:11">
      <c r="A8" s="1" t="s">
        <v>11</v>
      </c>
      <c r="B8" s="1" t="s">
        <v>13</v>
      </c>
      <c r="C8" s="1">
        <v>42</v>
      </c>
      <c r="D8" s="4">
        <v>22</v>
      </c>
      <c r="E8" s="4">
        <v>0.92700000000000005</v>
      </c>
      <c r="F8" s="4">
        <v>0.90600000000000003</v>
      </c>
      <c r="G8" s="4">
        <v>0.90610000000000002</v>
      </c>
      <c r="H8" s="4">
        <v>0.81569999999999998</v>
      </c>
      <c r="I8" s="4">
        <v>0.82950000000000002</v>
      </c>
      <c r="J8" s="4">
        <v>0.85050000000000003</v>
      </c>
      <c r="K8" s="4">
        <v>0.82250000000000001</v>
      </c>
    </row>
    <row r="9" spans="1:11">
      <c r="A9" s="1" t="s">
        <v>11</v>
      </c>
      <c r="B9" s="1" t="s">
        <v>13</v>
      </c>
      <c r="C9" s="1">
        <v>1234</v>
      </c>
      <c r="D9" s="4">
        <v>13</v>
      </c>
      <c r="E9" s="4">
        <v>0.93440000000000001</v>
      </c>
      <c r="F9" s="4">
        <v>0.91080000000000005</v>
      </c>
      <c r="G9" s="4">
        <v>0.91100000000000003</v>
      </c>
      <c r="H9" s="4">
        <v>0.82420000000000004</v>
      </c>
      <c r="I9" s="4">
        <v>0.81889999999999996</v>
      </c>
      <c r="J9" s="4">
        <v>0.85140000000000005</v>
      </c>
      <c r="K9" s="4">
        <v>0.82150000000000001</v>
      </c>
    </row>
    <row r="10" spans="1:11">
      <c r="A10" s="1" t="s">
        <v>11</v>
      </c>
      <c r="B10" s="1" t="s">
        <v>13</v>
      </c>
      <c r="C10" s="1">
        <v>2025</v>
      </c>
      <c r="D10" s="4">
        <v>15</v>
      </c>
      <c r="E10" s="4">
        <v>0.92300000000000004</v>
      </c>
      <c r="F10" s="4">
        <v>0.86270000000000002</v>
      </c>
      <c r="G10" s="4">
        <v>0.86319999999999997</v>
      </c>
      <c r="H10" s="4">
        <v>0.73970000000000002</v>
      </c>
      <c r="I10" s="4">
        <v>0.9032</v>
      </c>
      <c r="J10" s="4">
        <v>0.82669999999999999</v>
      </c>
      <c r="K10" s="4">
        <v>0.81330000000000002</v>
      </c>
    </row>
    <row r="11" spans="1:11">
      <c r="A11" s="1" t="s">
        <v>11</v>
      </c>
      <c r="B11" s="1" t="s">
        <v>13</v>
      </c>
      <c r="C11" s="1">
        <v>12345</v>
      </c>
      <c r="D11" s="4">
        <v>30</v>
      </c>
      <c r="E11" s="4">
        <v>0.94979999999999998</v>
      </c>
      <c r="F11" s="4">
        <v>0.93789999999999996</v>
      </c>
      <c r="G11" s="4">
        <v>0.93789999999999996</v>
      </c>
      <c r="H11" s="4">
        <v>0.8649</v>
      </c>
      <c r="I11" s="4">
        <v>0.87580000000000002</v>
      </c>
      <c r="J11" s="4">
        <v>0.89090000000000003</v>
      </c>
      <c r="K11" s="4">
        <v>0.87029999999999996</v>
      </c>
    </row>
    <row r="12" spans="1:11">
      <c r="A12" s="1" t="s">
        <v>11</v>
      </c>
      <c r="B12" s="1" t="s">
        <v>13</v>
      </c>
      <c r="C12" s="1">
        <v>666</v>
      </c>
      <c r="D12" s="4">
        <v>18</v>
      </c>
      <c r="E12" s="4">
        <v>0.92889999999999995</v>
      </c>
      <c r="F12" s="4">
        <v>0.90310000000000001</v>
      </c>
      <c r="G12" s="4">
        <v>0.90329999999999999</v>
      </c>
      <c r="H12" s="4">
        <v>0.80520000000000003</v>
      </c>
      <c r="I12" s="4">
        <v>0.85260000000000002</v>
      </c>
      <c r="J12" s="4">
        <v>0.85219999999999996</v>
      </c>
      <c r="K12" s="4">
        <v>0.82820000000000005</v>
      </c>
    </row>
    <row r="13" spans="1:11">
      <c r="A13" s="1"/>
      <c r="B13" s="1"/>
      <c r="C13" s="1"/>
      <c r="D13" s="1"/>
      <c r="E13" t="str">
        <f xml:space="preserve"> TEXT(AVERAGE(E8:E12),"0.0000") &amp; "±" &amp; TEXT(_xlfn.STDEV.S(E8:E12),"0.0000")</f>
        <v>0.9326±0.0104</v>
      </c>
      <c r="F13" t="str">
        <f t="shared" ref="F13:K13" si="1" xml:space="preserve"> TEXT(AVERAGE(F8:F12),"0.0000") &amp; "±" &amp; TEXT(_xlfn.STDEV.S(F8:F12),"0.0000")</f>
        <v>0.9041±0.0270</v>
      </c>
      <c r="G13" t="str">
        <f t="shared" si="1"/>
        <v>0.9043±0.0268</v>
      </c>
      <c r="H13" t="str">
        <f t="shared" si="1"/>
        <v>0.8099±0.0453</v>
      </c>
      <c r="I13" t="str">
        <f t="shared" si="1"/>
        <v>0.8560±0.0343</v>
      </c>
      <c r="J13" t="str">
        <f t="shared" si="1"/>
        <v>0.8543±0.0231</v>
      </c>
      <c r="K13" t="str">
        <f t="shared" si="1"/>
        <v>0.8312±0.0225</v>
      </c>
    </row>
    <row r="14" spans="1:11">
      <c r="A14" s="1" t="s">
        <v>11</v>
      </c>
      <c r="B14" s="1" t="s">
        <v>14</v>
      </c>
      <c r="C14" s="1">
        <v>42</v>
      </c>
      <c r="D14" s="4">
        <v>29</v>
      </c>
      <c r="E14" s="4">
        <v>0.97719999999999996</v>
      </c>
      <c r="F14" s="4">
        <v>0.98240000000000005</v>
      </c>
      <c r="G14" s="4">
        <v>0.98240000000000005</v>
      </c>
      <c r="H14" s="4">
        <v>0.9718</v>
      </c>
      <c r="I14" s="4">
        <v>0.89680000000000004</v>
      </c>
      <c r="J14" s="4">
        <v>0.92630000000000001</v>
      </c>
      <c r="K14" s="4">
        <v>0.93279999999999996</v>
      </c>
    </row>
    <row r="15" spans="1:11">
      <c r="A15" s="1" t="s">
        <v>11</v>
      </c>
      <c r="B15" s="1" t="s">
        <v>14</v>
      </c>
      <c r="C15" s="1">
        <v>1234</v>
      </c>
      <c r="D15" s="4">
        <v>8</v>
      </c>
      <c r="E15" s="4">
        <v>0.96950000000000003</v>
      </c>
      <c r="F15" s="4">
        <v>0.97699999999999998</v>
      </c>
      <c r="G15" s="4">
        <v>0.97699999999999998</v>
      </c>
      <c r="H15" s="4">
        <v>0.97089999999999999</v>
      </c>
      <c r="I15" s="4">
        <v>0.80669999999999997</v>
      </c>
      <c r="J15" s="4">
        <v>0.87590000000000001</v>
      </c>
      <c r="K15" s="4">
        <v>0.88119999999999998</v>
      </c>
    </row>
    <row r="16" spans="1:11">
      <c r="A16" s="1" t="s">
        <v>11</v>
      </c>
      <c r="B16" s="1" t="s">
        <v>14</v>
      </c>
      <c r="C16" s="1">
        <v>2025</v>
      </c>
      <c r="D16" s="4">
        <v>6</v>
      </c>
      <c r="E16" s="4">
        <v>0.97499999999999998</v>
      </c>
      <c r="F16" s="4">
        <v>0.98</v>
      </c>
      <c r="G16" s="4">
        <v>0.98</v>
      </c>
      <c r="H16" s="4">
        <v>0.96709999999999996</v>
      </c>
      <c r="I16" s="4">
        <v>0.87549999999999994</v>
      </c>
      <c r="J16" s="4">
        <v>0.91190000000000004</v>
      </c>
      <c r="K16" s="4">
        <v>0.91900000000000004</v>
      </c>
    </row>
    <row r="17" spans="1:11">
      <c r="A17" s="1" t="s">
        <v>11</v>
      </c>
      <c r="B17" s="1" t="s">
        <v>14</v>
      </c>
      <c r="C17" s="1">
        <v>12345</v>
      </c>
      <c r="D17" s="4">
        <v>19</v>
      </c>
      <c r="E17" s="4">
        <v>0.9627</v>
      </c>
      <c r="F17" s="4">
        <v>0.97199999999999998</v>
      </c>
      <c r="G17" s="4">
        <v>0.97199999999999998</v>
      </c>
      <c r="H17" s="4">
        <v>0.96679999999999999</v>
      </c>
      <c r="I17" s="4">
        <v>0.84009999999999996</v>
      </c>
      <c r="J17" s="4">
        <v>0.89229999999999998</v>
      </c>
      <c r="K17" s="4">
        <v>0.89910000000000001</v>
      </c>
    </row>
    <row r="18" spans="1:11">
      <c r="A18" s="1" t="s">
        <v>11</v>
      </c>
      <c r="B18" s="1" t="s">
        <v>14</v>
      </c>
      <c r="C18" s="1">
        <v>666</v>
      </c>
      <c r="D18" s="4">
        <v>17</v>
      </c>
      <c r="E18" s="4">
        <v>0.9647</v>
      </c>
      <c r="F18" s="4">
        <v>0.97189999999999999</v>
      </c>
      <c r="G18" s="4">
        <v>0.97189999999999999</v>
      </c>
      <c r="H18" s="4">
        <v>0.95760000000000001</v>
      </c>
      <c r="I18" s="4">
        <v>0.81779999999999997</v>
      </c>
      <c r="J18" s="4">
        <v>0.87529999999999997</v>
      </c>
      <c r="K18" s="4">
        <v>0.88219999999999998</v>
      </c>
    </row>
    <row r="19" spans="1:11">
      <c r="A19" s="1"/>
      <c r="B19" s="1"/>
      <c r="C19" s="1"/>
      <c r="D19" s="1"/>
      <c r="E19" t="str">
        <f xml:space="preserve"> TEXT(AVERAGE(E14:E18),"0.0000") &amp; "±" &amp; TEXT(_xlfn.STDEV.S(E14:E18),"0.0000")</f>
        <v>0.9698±0.0063</v>
      </c>
      <c r="F19" t="str">
        <f t="shared" ref="F19:K19" si="2" xml:space="preserve"> TEXT(AVERAGE(F14:F18),"0.0000") &amp; "±" &amp; TEXT(_xlfn.STDEV.S(F14:F18),"0.0000")</f>
        <v>0.9767±0.0047</v>
      </c>
      <c r="G19" t="str">
        <f t="shared" si="2"/>
        <v>0.9767±0.0047</v>
      </c>
      <c r="H19" t="str">
        <f t="shared" si="2"/>
        <v>0.9668±0.0056</v>
      </c>
      <c r="I19" t="str">
        <f t="shared" si="2"/>
        <v>0.8474±0.0381</v>
      </c>
      <c r="J19" t="str">
        <f t="shared" si="2"/>
        <v>0.8963±0.0225</v>
      </c>
      <c r="K19" t="str">
        <f t="shared" si="2"/>
        <v>0.9029±0.0227</v>
      </c>
    </row>
    <row r="20" spans="1:11">
      <c r="A20" s="1" t="s">
        <v>11</v>
      </c>
      <c r="B20" s="1" t="s">
        <v>15</v>
      </c>
      <c r="C20" s="1">
        <v>42</v>
      </c>
      <c r="D20" s="4">
        <v>21</v>
      </c>
      <c r="E20" s="4">
        <v>0.99490000000000001</v>
      </c>
      <c r="F20" s="4">
        <v>0.99550000000000005</v>
      </c>
      <c r="G20" s="4">
        <v>0.99550000000000005</v>
      </c>
      <c r="H20" s="4">
        <v>0.95420000000000005</v>
      </c>
      <c r="I20" s="4">
        <v>0.97989999999999999</v>
      </c>
      <c r="J20" s="4">
        <v>0.96579999999999999</v>
      </c>
      <c r="K20" s="4">
        <v>0.96689999999999998</v>
      </c>
    </row>
    <row r="21" spans="1:11">
      <c r="A21" s="1" t="s">
        <v>11</v>
      </c>
      <c r="B21" s="1" t="s">
        <v>15</v>
      </c>
      <c r="C21" s="1">
        <v>1234</v>
      </c>
      <c r="D21" s="4">
        <v>20</v>
      </c>
      <c r="E21" s="4">
        <v>0.99490000000000001</v>
      </c>
      <c r="F21" s="4">
        <v>0.99590000000000001</v>
      </c>
      <c r="G21" s="4">
        <v>0.99590000000000001</v>
      </c>
      <c r="H21" s="4">
        <v>0.96050000000000002</v>
      </c>
      <c r="I21" s="4">
        <v>0.97989999999999999</v>
      </c>
      <c r="J21" s="4">
        <v>0.96919999999999995</v>
      </c>
      <c r="K21" s="4">
        <v>0.97009999999999996</v>
      </c>
    </row>
    <row r="22" spans="1:11">
      <c r="A22" s="1" t="s">
        <v>11</v>
      </c>
      <c r="B22" s="1" t="s">
        <v>15</v>
      </c>
      <c r="C22" s="1">
        <v>2025</v>
      </c>
      <c r="D22" s="4">
        <v>24</v>
      </c>
      <c r="E22" s="4">
        <v>0.99370000000000003</v>
      </c>
      <c r="F22" s="4">
        <v>0.99460000000000004</v>
      </c>
      <c r="G22" s="4">
        <v>0.99460000000000004</v>
      </c>
      <c r="H22" s="4">
        <v>0.94740000000000002</v>
      </c>
      <c r="I22" s="4">
        <v>0.96640000000000004</v>
      </c>
      <c r="J22" s="4">
        <v>0.95550000000000002</v>
      </c>
      <c r="K22" s="4">
        <v>0.95679999999999998</v>
      </c>
    </row>
    <row r="23" spans="1:11">
      <c r="A23" s="1" t="s">
        <v>11</v>
      </c>
      <c r="B23" s="1" t="s">
        <v>15</v>
      </c>
      <c r="C23" s="1">
        <v>12345</v>
      </c>
      <c r="D23" s="4">
        <v>9</v>
      </c>
      <c r="E23" s="4">
        <v>0.9859</v>
      </c>
      <c r="F23" s="4">
        <v>0.98729999999999996</v>
      </c>
      <c r="G23" s="4">
        <v>0.98729999999999996</v>
      </c>
      <c r="H23" s="4">
        <v>0.9536</v>
      </c>
      <c r="I23" s="4">
        <v>0.96640000000000004</v>
      </c>
      <c r="J23" s="4">
        <v>0.95889999999999997</v>
      </c>
      <c r="K23" s="4">
        <v>0.96</v>
      </c>
    </row>
    <row r="24" spans="1:11">
      <c r="A24" s="1" t="s">
        <v>11</v>
      </c>
      <c r="B24" s="1" t="s">
        <v>15</v>
      </c>
      <c r="C24" s="1">
        <v>666</v>
      </c>
      <c r="D24" s="4">
        <v>23</v>
      </c>
      <c r="E24" s="4">
        <v>0.99270000000000003</v>
      </c>
      <c r="F24" s="4">
        <v>0.99319999999999997</v>
      </c>
      <c r="G24" s="4">
        <v>0.99319999999999997</v>
      </c>
      <c r="H24" s="4">
        <v>0.94810000000000005</v>
      </c>
      <c r="I24" s="4">
        <v>0.97989999999999999</v>
      </c>
      <c r="J24" s="4">
        <v>0.96230000000000004</v>
      </c>
      <c r="K24" s="4">
        <v>0.9637</v>
      </c>
    </row>
    <row r="25" spans="1:11">
      <c r="A25" s="1"/>
      <c r="B25" s="1"/>
      <c r="C25" s="1"/>
      <c r="D25" s="1"/>
      <c r="E25" t="str">
        <f xml:space="preserve"> TEXT(AVERAGE(E20:E24),"0.0000") &amp; "±" &amp; TEXT(_xlfn.STDEV.S(E20:E24),"0.0000")</f>
        <v>0.9924±0.0038</v>
      </c>
      <c r="F25" t="str">
        <f t="shared" ref="F25:K25" si="3" xml:space="preserve"> TEXT(AVERAGE(F20:F24),"0.0000") &amp; "±" &amp; TEXT(_xlfn.STDEV.S(F20:F24),"0.0000")</f>
        <v>0.9933±0.0035</v>
      </c>
      <c r="G25" t="str">
        <f t="shared" si="3"/>
        <v>0.9933±0.0035</v>
      </c>
      <c r="H25" t="str">
        <f t="shared" si="3"/>
        <v>0.9528±0.0053</v>
      </c>
      <c r="I25" t="str">
        <f t="shared" si="3"/>
        <v>0.9745±0.0074</v>
      </c>
      <c r="J25" t="str">
        <f t="shared" si="3"/>
        <v>0.9623±0.0054</v>
      </c>
      <c r="K25" t="str">
        <f t="shared" si="3"/>
        <v>0.9635±0.0053</v>
      </c>
    </row>
    <row r="26" spans="1:11">
      <c r="A26" s="1" t="s">
        <v>11</v>
      </c>
      <c r="B26" s="1" t="s">
        <v>16</v>
      </c>
      <c r="C26" s="1">
        <v>42</v>
      </c>
      <c r="D26" s="4">
        <v>24</v>
      </c>
      <c r="E26" s="4">
        <v>0.99070000000000003</v>
      </c>
      <c r="F26" s="4">
        <v>0.99409999999999998</v>
      </c>
      <c r="G26" s="4">
        <v>0.99409999999999998</v>
      </c>
      <c r="H26" s="4">
        <v>0.98509999999999998</v>
      </c>
      <c r="I26" s="4">
        <v>0.9496</v>
      </c>
      <c r="J26" s="4">
        <v>0.96399999999999997</v>
      </c>
      <c r="K26" s="4">
        <v>0.96699999999999997</v>
      </c>
    </row>
    <row r="27" spans="1:11">
      <c r="A27" s="1" t="s">
        <v>11</v>
      </c>
      <c r="B27" s="1" t="s">
        <v>16</v>
      </c>
      <c r="C27" s="1">
        <v>1234</v>
      </c>
      <c r="D27" s="4">
        <v>28</v>
      </c>
      <c r="E27" s="4">
        <v>0.99790000000000001</v>
      </c>
      <c r="F27" s="4">
        <v>0.99839999999999995</v>
      </c>
      <c r="G27" s="4">
        <v>0.99839999999999995</v>
      </c>
      <c r="H27" s="4">
        <v>0.99260000000000004</v>
      </c>
      <c r="I27" s="4">
        <v>0.96399999999999997</v>
      </c>
      <c r="J27" s="4">
        <v>0.97599999999999998</v>
      </c>
      <c r="K27" s="4">
        <v>0.97809999999999997</v>
      </c>
    </row>
    <row r="28" spans="1:11">
      <c r="A28" s="1" t="s">
        <v>11</v>
      </c>
      <c r="B28" s="1" t="s">
        <v>16</v>
      </c>
      <c r="C28" s="1">
        <v>2025</v>
      </c>
      <c r="D28" s="4">
        <v>26</v>
      </c>
      <c r="E28" s="4">
        <v>0.996</v>
      </c>
      <c r="F28" s="4">
        <v>0.99680000000000002</v>
      </c>
      <c r="G28" s="4">
        <v>0.99680000000000002</v>
      </c>
      <c r="H28" s="4">
        <v>0.97119999999999995</v>
      </c>
      <c r="I28" s="4">
        <v>0.97119999999999995</v>
      </c>
      <c r="J28" s="4">
        <v>0.96799999999999997</v>
      </c>
      <c r="K28" s="4">
        <v>0.97119999999999995</v>
      </c>
    </row>
    <row r="29" spans="1:11">
      <c r="A29" s="1" t="s">
        <v>11</v>
      </c>
      <c r="B29" s="1" t="s">
        <v>16</v>
      </c>
      <c r="C29" s="1">
        <v>12345</v>
      </c>
      <c r="D29" s="4">
        <v>28</v>
      </c>
      <c r="E29" s="4">
        <v>0.99590000000000001</v>
      </c>
      <c r="F29" s="4">
        <v>0.99719999999999998</v>
      </c>
      <c r="G29" s="4">
        <v>0.99719999999999998</v>
      </c>
      <c r="H29" s="4">
        <v>0.97860000000000003</v>
      </c>
      <c r="I29" s="4">
        <v>0.98560000000000003</v>
      </c>
      <c r="J29" s="4">
        <v>0.98</v>
      </c>
      <c r="K29" s="4">
        <v>0.98209999999999997</v>
      </c>
    </row>
    <row r="30" spans="1:11">
      <c r="A30" s="1" t="s">
        <v>11</v>
      </c>
      <c r="B30" s="1" t="s">
        <v>16</v>
      </c>
      <c r="C30" s="1">
        <v>666</v>
      </c>
      <c r="D30" s="4">
        <v>25</v>
      </c>
      <c r="E30" s="4">
        <v>0.99639999999999995</v>
      </c>
      <c r="F30" s="4">
        <v>0.99750000000000005</v>
      </c>
      <c r="G30" s="4">
        <v>0.99750000000000005</v>
      </c>
      <c r="H30" s="4">
        <v>0.98519999999999996</v>
      </c>
      <c r="I30" s="4">
        <v>0.95679999999999998</v>
      </c>
      <c r="J30" s="4">
        <v>0.96799999999999997</v>
      </c>
      <c r="K30" s="4">
        <v>0.9708</v>
      </c>
    </row>
    <row r="31" spans="1:11">
      <c r="E31" t="str">
        <f xml:space="preserve"> TEXT(AVERAGE(E26:E30),"0.0000") &amp; "±" &amp; TEXT(_xlfn.STDEV.S(E26:E30),"0.0000")</f>
        <v>0.9954±0.0027</v>
      </c>
      <c r="F31" t="str">
        <f t="shared" ref="F31:K31" si="4" xml:space="preserve"> TEXT(AVERAGE(F26:F30),"0.0000") &amp; "±" &amp; TEXT(_xlfn.STDEV.S(F26:F30),"0.0000")</f>
        <v>0.9968±0.0016</v>
      </c>
      <c r="G31" t="str">
        <f t="shared" si="4"/>
        <v>0.9968±0.0016</v>
      </c>
      <c r="H31" t="str">
        <f t="shared" si="4"/>
        <v>0.9825±0.0080</v>
      </c>
      <c r="I31" t="str">
        <f t="shared" si="4"/>
        <v>0.9654±0.0138</v>
      </c>
      <c r="J31" t="str">
        <f t="shared" si="4"/>
        <v>0.9712±0.0066</v>
      </c>
      <c r="K31" t="str">
        <f t="shared" si="4"/>
        <v>0.9738±0.0061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FE8A1-466E-4044-9083-70D3ABB3121B}">
  <dimension ref="A1:K31"/>
  <sheetViews>
    <sheetView workbookViewId="0">
      <selection activeCell="D3" sqref="D3:K6"/>
    </sheetView>
  </sheetViews>
  <sheetFormatPr defaultRowHeight="14.2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17</v>
      </c>
      <c r="B2" s="1" t="s">
        <v>12</v>
      </c>
      <c r="C2" s="1">
        <v>42</v>
      </c>
      <c r="D2" s="4">
        <v>24</v>
      </c>
      <c r="E2" s="4">
        <v>0.98299999999999998</v>
      </c>
      <c r="F2" s="4">
        <v>0.98660000000000003</v>
      </c>
      <c r="G2" s="4">
        <v>0.98670000000000002</v>
      </c>
      <c r="H2" s="4">
        <v>0.94599999999999995</v>
      </c>
      <c r="I2" s="4">
        <v>0.95689999999999997</v>
      </c>
      <c r="J2" s="4">
        <v>0.94950000000000001</v>
      </c>
      <c r="K2" s="4">
        <v>0.95140000000000002</v>
      </c>
    </row>
    <row r="3" spans="1:11">
      <c r="A3" s="2" t="s">
        <v>17</v>
      </c>
      <c r="B3" s="1" t="s">
        <v>12</v>
      </c>
      <c r="C3" s="1">
        <v>1234</v>
      </c>
      <c r="D3" s="4">
        <v>23</v>
      </c>
      <c r="E3" s="4">
        <v>0.98170000000000002</v>
      </c>
      <c r="F3" s="4">
        <v>0.98519999999999996</v>
      </c>
      <c r="G3" s="4">
        <v>0.98519999999999996</v>
      </c>
      <c r="H3" s="4">
        <v>0.93200000000000005</v>
      </c>
      <c r="I3" s="4">
        <v>0.94540000000000002</v>
      </c>
      <c r="J3" s="4">
        <v>0.93610000000000004</v>
      </c>
      <c r="K3" s="4">
        <v>0.93869999999999998</v>
      </c>
    </row>
    <row r="4" spans="1:11">
      <c r="A4" s="2" t="s">
        <v>17</v>
      </c>
      <c r="B4" s="1" t="s">
        <v>12</v>
      </c>
      <c r="C4" s="1">
        <v>2025</v>
      </c>
      <c r="D4" s="4">
        <v>18</v>
      </c>
      <c r="E4" s="4">
        <v>0.9869</v>
      </c>
      <c r="F4" s="4">
        <v>0.99009999999999998</v>
      </c>
      <c r="G4" s="4">
        <v>0.99009999999999998</v>
      </c>
      <c r="H4" s="4">
        <v>0.94889999999999997</v>
      </c>
      <c r="I4" s="4">
        <v>0.95979999999999999</v>
      </c>
      <c r="J4" s="4">
        <v>0.95250000000000001</v>
      </c>
      <c r="K4" s="4">
        <v>0.95430000000000004</v>
      </c>
    </row>
    <row r="5" spans="1:11">
      <c r="A5" s="2" t="s">
        <v>17</v>
      </c>
      <c r="B5" s="1" t="s">
        <v>12</v>
      </c>
      <c r="C5" s="1">
        <v>12345</v>
      </c>
      <c r="D5" s="4">
        <v>26</v>
      </c>
      <c r="E5" s="4">
        <v>0.98340000000000005</v>
      </c>
      <c r="F5" s="4">
        <v>0.98670000000000002</v>
      </c>
      <c r="G5" s="4">
        <v>0.98670000000000002</v>
      </c>
      <c r="H5" s="4">
        <v>0.91300000000000003</v>
      </c>
      <c r="I5" s="4">
        <v>0.96550000000000002</v>
      </c>
      <c r="J5" s="4">
        <v>0.93459999999999999</v>
      </c>
      <c r="K5" s="4">
        <v>0.9385</v>
      </c>
    </row>
    <row r="6" spans="1:11">
      <c r="A6" s="2" t="s">
        <v>17</v>
      </c>
      <c r="B6" s="1" t="s">
        <v>12</v>
      </c>
      <c r="C6" s="1">
        <v>666</v>
      </c>
      <c r="D6" s="4">
        <v>23</v>
      </c>
      <c r="E6" s="4">
        <v>0.98329999999999995</v>
      </c>
      <c r="F6" s="4">
        <v>0.98839999999999995</v>
      </c>
      <c r="G6" s="4">
        <v>0.98839999999999995</v>
      </c>
      <c r="H6" s="4">
        <v>0.97070000000000001</v>
      </c>
      <c r="I6" s="4">
        <v>0.95109999999999995</v>
      </c>
      <c r="J6" s="4">
        <v>0.95989999999999998</v>
      </c>
      <c r="K6" s="4">
        <v>0.96079999999999999</v>
      </c>
    </row>
    <row r="7" spans="1:11">
      <c r="A7" s="1"/>
      <c r="B7" s="1"/>
      <c r="C7" s="1"/>
      <c r="D7" s="1"/>
      <c r="E7" t="str">
        <f xml:space="preserve"> TEXT(AVERAGE(E2:E6),"0.0000") &amp; "±" &amp; TEXT(_xlfn.STDEV.S(E2:E6),"0.0000")</f>
        <v>0.9837±0.0019</v>
      </c>
      <c r="F7" t="str">
        <f t="shared" ref="F7:K7" si="0" xml:space="preserve"> TEXT(AVERAGE(F2:F6),"0.0000") &amp; "±" &amp; TEXT(_xlfn.STDEV.S(F2:F6),"0.0000")</f>
        <v>0.9874±0.0019</v>
      </c>
      <c r="G7" t="str">
        <f t="shared" si="0"/>
        <v>0.9874±0.0019</v>
      </c>
      <c r="H7" t="str">
        <f t="shared" si="0"/>
        <v>0.9421±0.0214</v>
      </c>
      <c r="I7" t="str">
        <f t="shared" si="0"/>
        <v>0.9557±0.0078</v>
      </c>
      <c r="J7" t="str">
        <f t="shared" si="0"/>
        <v>0.9465±0.0109</v>
      </c>
      <c r="K7" t="str">
        <f t="shared" si="0"/>
        <v>0.9487±0.0099</v>
      </c>
    </row>
    <row r="8" spans="1:11">
      <c r="A8" s="2" t="s">
        <v>17</v>
      </c>
      <c r="B8" s="1" t="s">
        <v>13</v>
      </c>
      <c r="C8" s="1">
        <v>42</v>
      </c>
      <c r="D8" s="4">
        <v>22</v>
      </c>
      <c r="E8" s="4">
        <v>0.90500000000000003</v>
      </c>
      <c r="F8" s="4">
        <v>0.89910000000000001</v>
      </c>
      <c r="G8" s="4">
        <v>0.8992</v>
      </c>
      <c r="H8" s="4">
        <v>0.80320000000000003</v>
      </c>
      <c r="I8" s="4">
        <v>0.7893</v>
      </c>
      <c r="J8" s="4">
        <v>0.82410000000000005</v>
      </c>
      <c r="K8" s="4">
        <v>0.79620000000000002</v>
      </c>
    </row>
    <row r="9" spans="1:11">
      <c r="A9" s="2" t="s">
        <v>17</v>
      </c>
      <c r="B9" s="1" t="s">
        <v>13</v>
      </c>
      <c r="C9" s="1">
        <v>1234</v>
      </c>
      <c r="D9" s="4">
        <v>16</v>
      </c>
      <c r="E9" s="4">
        <v>0.88429999999999997</v>
      </c>
      <c r="F9" s="4">
        <v>0.88549999999999995</v>
      </c>
      <c r="G9" s="4">
        <v>0.88549999999999995</v>
      </c>
      <c r="H9" s="4">
        <v>0.80759999999999998</v>
      </c>
      <c r="I9" s="4">
        <v>0.77549999999999997</v>
      </c>
      <c r="J9" s="4">
        <v>0.82179999999999997</v>
      </c>
      <c r="K9" s="4">
        <v>0.79120000000000001</v>
      </c>
    </row>
    <row r="10" spans="1:11">
      <c r="A10" s="2" t="s">
        <v>17</v>
      </c>
      <c r="B10" s="1" t="s">
        <v>13</v>
      </c>
      <c r="C10" s="1">
        <v>2025</v>
      </c>
      <c r="D10" s="4">
        <v>8</v>
      </c>
      <c r="E10" s="4">
        <v>0.87870000000000004</v>
      </c>
      <c r="F10" s="4">
        <v>0.87529999999999997</v>
      </c>
      <c r="G10" s="4">
        <v>0.87539999999999996</v>
      </c>
      <c r="H10" s="4">
        <v>0.85129999999999995</v>
      </c>
      <c r="I10" s="4">
        <v>0.72189999999999999</v>
      </c>
      <c r="J10" s="4">
        <v>0.82410000000000005</v>
      </c>
      <c r="K10" s="4">
        <v>0.78129999999999999</v>
      </c>
    </row>
    <row r="11" spans="1:11">
      <c r="A11" s="2" t="s">
        <v>17</v>
      </c>
      <c r="B11" s="1" t="s">
        <v>13</v>
      </c>
      <c r="C11" s="1">
        <v>12345</v>
      </c>
      <c r="D11" s="4">
        <v>22</v>
      </c>
      <c r="E11" s="4">
        <v>0.90910000000000002</v>
      </c>
      <c r="F11" s="4">
        <v>0.89849999999999997</v>
      </c>
      <c r="G11" s="4">
        <v>0.89859999999999995</v>
      </c>
      <c r="H11" s="4">
        <v>0.79730000000000001</v>
      </c>
      <c r="I11" s="4">
        <v>0.81520000000000004</v>
      </c>
      <c r="J11" s="4">
        <v>0.82930000000000004</v>
      </c>
      <c r="K11" s="4">
        <v>0.80610000000000004</v>
      </c>
    </row>
    <row r="12" spans="1:11">
      <c r="A12" s="2" t="s">
        <v>17</v>
      </c>
      <c r="B12" s="1" t="s">
        <v>13</v>
      </c>
      <c r="C12" s="1">
        <v>666</v>
      </c>
      <c r="D12" s="4">
        <v>30</v>
      </c>
      <c r="E12" s="4">
        <v>0.90590000000000004</v>
      </c>
      <c r="F12" s="4">
        <v>0.89759999999999995</v>
      </c>
      <c r="G12" s="4">
        <v>0.89770000000000005</v>
      </c>
      <c r="H12" s="4">
        <v>0.81469999999999998</v>
      </c>
      <c r="I12" s="4">
        <v>0.76680000000000004</v>
      </c>
      <c r="J12" s="4">
        <v>0.8226</v>
      </c>
      <c r="K12" s="4">
        <v>0.79</v>
      </c>
    </row>
    <row r="13" spans="1:11">
      <c r="A13" s="1"/>
      <c r="B13" s="1"/>
      <c r="C13" s="1"/>
      <c r="D13" s="1"/>
      <c r="E13" t="str">
        <f t="shared" ref="E13:K13" si="1" xml:space="preserve"> TEXT(AVERAGE(E8:E12),"0.0000") &amp; "±" &amp; TEXT(_xlfn.STDEV.S(E8:E12),"0.0000")</f>
        <v>0.8966±0.0140</v>
      </c>
      <c r="F13" t="str">
        <f t="shared" si="1"/>
        <v>0.8912±0.0105</v>
      </c>
      <c r="G13" t="str">
        <f t="shared" si="1"/>
        <v>0.8913±0.0105</v>
      </c>
      <c r="H13" t="str">
        <f t="shared" si="1"/>
        <v>0.8148±0.0214</v>
      </c>
      <c r="I13" t="str">
        <f t="shared" si="1"/>
        <v>0.7737±0.0343</v>
      </c>
      <c r="J13" t="str">
        <f t="shared" si="1"/>
        <v>0.8244±0.0029</v>
      </c>
      <c r="K13" t="str">
        <f t="shared" si="1"/>
        <v>0.7930±0.0091</v>
      </c>
    </row>
    <row r="14" spans="1:11">
      <c r="A14" s="2" t="s">
        <v>17</v>
      </c>
      <c r="B14" s="1" t="s">
        <v>14</v>
      </c>
      <c r="C14" s="1">
        <v>42</v>
      </c>
      <c r="D14" s="4">
        <v>22</v>
      </c>
      <c r="E14" s="4">
        <v>0.97009999999999996</v>
      </c>
      <c r="F14" s="4">
        <v>0.95979999999999999</v>
      </c>
      <c r="G14" s="4">
        <v>0.95989999999999998</v>
      </c>
      <c r="H14" s="4">
        <v>0.90629999999999999</v>
      </c>
      <c r="I14" s="4">
        <v>0.90039999999999998</v>
      </c>
      <c r="J14" s="4">
        <v>0.92279999999999995</v>
      </c>
      <c r="K14" s="4">
        <v>0.90339999999999998</v>
      </c>
    </row>
    <row r="15" spans="1:11">
      <c r="A15" s="2" t="s">
        <v>17</v>
      </c>
      <c r="B15" s="1" t="s">
        <v>14</v>
      </c>
      <c r="C15" s="1">
        <v>1234</v>
      </c>
      <c r="D15" s="4">
        <v>17</v>
      </c>
      <c r="E15" s="4">
        <v>0.96909999999999996</v>
      </c>
      <c r="F15" s="4">
        <v>0.95850000000000002</v>
      </c>
      <c r="G15" s="4">
        <v>0.95860000000000001</v>
      </c>
      <c r="H15" s="4">
        <v>0.88100000000000001</v>
      </c>
      <c r="I15" s="4">
        <v>0.91339999999999999</v>
      </c>
      <c r="J15" s="4">
        <v>0.91590000000000005</v>
      </c>
      <c r="K15" s="4">
        <v>0.89690000000000003</v>
      </c>
    </row>
    <row r="16" spans="1:11">
      <c r="A16" s="2" t="s">
        <v>17</v>
      </c>
      <c r="B16" s="1" t="s">
        <v>14</v>
      </c>
      <c r="C16" s="1">
        <v>2025</v>
      </c>
      <c r="D16" s="4">
        <v>28</v>
      </c>
      <c r="E16" s="4">
        <v>0.97740000000000005</v>
      </c>
      <c r="F16" s="4">
        <v>0.96870000000000001</v>
      </c>
      <c r="G16" s="4">
        <v>0.96879999999999999</v>
      </c>
      <c r="H16" s="4">
        <v>0.90380000000000005</v>
      </c>
      <c r="I16" s="4">
        <v>0.93510000000000004</v>
      </c>
      <c r="J16" s="4">
        <v>0.93410000000000004</v>
      </c>
      <c r="K16" s="4">
        <v>0.91910000000000003</v>
      </c>
    </row>
    <row r="17" spans="1:11">
      <c r="A17" s="2" t="s">
        <v>17</v>
      </c>
      <c r="B17" s="1" t="s">
        <v>14</v>
      </c>
      <c r="C17" s="1">
        <v>12345</v>
      </c>
      <c r="D17" s="4">
        <v>24</v>
      </c>
      <c r="E17" s="4">
        <v>0.96130000000000004</v>
      </c>
      <c r="F17" s="4">
        <v>0.95050000000000001</v>
      </c>
      <c r="G17" s="4">
        <v>0.9506</v>
      </c>
      <c r="H17" s="4">
        <v>0.86529999999999996</v>
      </c>
      <c r="I17" s="4">
        <v>0.91769999999999996</v>
      </c>
      <c r="J17" s="4">
        <v>0.90980000000000005</v>
      </c>
      <c r="K17" s="4">
        <v>0.89080000000000004</v>
      </c>
    </row>
    <row r="18" spans="1:11">
      <c r="A18" s="2" t="s">
        <v>17</v>
      </c>
      <c r="B18" s="1" t="s">
        <v>14</v>
      </c>
      <c r="C18" s="1">
        <v>666</v>
      </c>
      <c r="D18" s="4">
        <v>29</v>
      </c>
      <c r="E18" s="4">
        <v>0.96440000000000003</v>
      </c>
      <c r="F18" s="4">
        <v>0.95750000000000002</v>
      </c>
      <c r="G18" s="4">
        <v>0.95750000000000002</v>
      </c>
      <c r="H18" s="4">
        <v>0.92259999999999998</v>
      </c>
      <c r="I18" s="4">
        <v>0.87660000000000005</v>
      </c>
      <c r="J18" s="4">
        <v>0.92110000000000003</v>
      </c>
      <c r="K18" s="4">
        <v>0.89900000000000002</v>
      </c>
    </row>
    <row r="19" spans="1:11">
      <c r="A19" s="1"/>
      <c r="B19" s="1"/>
      <c r="C19" s="1"/>
      <c r="D19" s="1"/>
      <c r="E19" t="str">
        <f xml:space="preserve"> TEXT(AVERAGE(E14:E18),"0.0000") &amp; "±" &amp; TEXT(_xlfn.STDEV.S(E14:E18),"0.0000")</f>
        <v>0.9685±0.0061</v>
      </c>
      <c r="F19" t="str">
        <f t="shared" ref="F19:K19" si="2" xml:space="preserve"> TEXT(AVERAGE(F14:F18),"0.0000") &amp; "±" &amp; TEXT(_xlfn.STDEV.S(F14:F18),"0.0000")</f>
        <v>0.9590±0.0065</v>
      </c>
      <c r="G19" t="str">
        <f t="shared" si="2"/>
        <v>0.9591±0.0065</v>
      </c>
      <c r="H19" t="str">
        <f t="shared" si="2"/>
        <v>0.8958±0.0226</v>
      </c>
      <c r="I19" t="str">
        <f t="shared" si="2"/>
        <v>0.9086±0.0218</v>
      </c>
      <c r="J19" t="str">
        <f t="shared" si="2"/>
        <v>0.9207±0.0090</v>
      </c>
      <c r="K19" t="str">
        <f t="shared" si="2"/>
        <v>0.9018±0.0107</v>
      </c>
    </row>
    <row r="20" spans="1:11">
      <c r="A20" s="2" t="s">
        <v>17</v>
      </c>
      <c r="B20" s="1" t="s">
        <v>15</v>
      </c>
      <c r="C20" s="1">
        <v>42</v>
      </c>
      <c r="D20" s="4">
        <v>17</v>
      </c>
      <c r="E20" s="4">
        <v>0.97309999999999997</v>
      </c>
      <c r="F20" s="4">
        <v>0.94540000000000002</v>
      </c>
      <c r="G20" s="4">
        <v>0.94589999999999996</v>
      </c>
      <c r="H20" s="4">
        <v>0.87719999999999998</v>
      </c>
      <c r="I20" s="4">
        <v>0.89290000000000003</v>
      </c>
      <c r="J20" s="4">
        <v>0.94040000000000001</v>
      </c>
      <c r="K20" s="4">
        <v>0.88500000000000001</v>
      </c>
    </row>
    <row r="21" spans="1:11">
      <c r="A21" s="2" t="s">
        <v>17</v>
      </c>
      <c r="B21" s="1" t="s">
        <v>15</v>
      </c>
      <c r="C21" s="1">
        <v>1234</v>
      </c>
      <c r="D21" s="4">
        <v>26</v>
      </c>
      <c r="E21" s="4">
        <v>0.97660000000000002</v>
      </c>
      <c r="F21" s="4">
        <v>0.92979999999999996</v>
      </c>
      <c r="G21" s="4">
        <v>0.93059999999999998</v>
      </c>
      <c r="H21" s="4">
        <v>0.85450000000000004</v>
      </c>
      <c r="I21" s="4">
        <v>0.83930000000000005</v>
      </c>
      <c r="J21" s="4">
        <v>0.92200000000000004</v>
      </c>
      <c r="K21" s="4">
        <v>0.8468</v>
      </c>
    </row>
    <row r="22" spans="1:11">
      <c r="A22" s="2" t="s">
        <v>17</v>
      </c>
      <c r="B22" s="1" t="s">
        <v>15</v>
      </c>
      <c r="C22" s="1">
        <v>2025</v>
      </c>
      <c r="D22" s="4">
        <v>19</v>
      </c>
      <c r="E22" s="4">
        <v>0.97389999999999999</v>
      </c>
      <c r="F22" s="4">
        <v>0.9214</v>
      </c>
      <c r="G22" s="4">
        <v>0.92330000000000001</v>
      </c>
      <c r="H22" s="4">
        <v>0.90739999999999998</v>
      </c>
      <c r="I22" s="4">
        <v>0.875</v>
      </c>
      <c r="J22" s="4">
        <v>0.94499999999999995</v>
      </c>
      <c r="K22" s="4">
        <v>0.89090000000000003</v>
      </c>
    </row>
    <row r="23" spans="1:11">
      <c r="A23" s="2" t="s">
        <v>17</v>
      </c>
      <c r="B23" s="1" t="s">
        <v>15</v>
      </c>
      <c r="C23" s="1">
        <v>12345</v>
      </c>
      <c r="D23" s="4">
        <v>30</v>
      </c>
      <c r="E23" s="4">
        <v>0.96809999999999996</v>
      </c>
      <c r="F23" s="4">
        <v>0.91949999999999998</v>
      </c>
      <c r="G23" s="4">
        <v>0.9204</v>
      </c>
      <c r="H23" s="4">
        <v>0.89580000000000004</v>
      </c>
      <c r="I23" s="4">
        <v>0.76790000000000003</v>
      </c>
      <c r="J23" s="4">
        <v>0.91739999999999999</v>
      </c>
      <c r="K23" s="4">
        <v>0.82689999999999997</v>
      </c>
    </row>
    <row r="24" spans="1:11">
      <c r="A24" s="2" t="s">
        <v>17</v>
      </c>
      <c r="B24" s="1" t="s">
        <v>15</v>
      </c>
      <c r="C24" s="1">
        <v>666</v>
      </c>
      <c r="D24" s="4">
        <v>24</v>
      </c>
      <c r="E24" s="4">
        <v>0.98080000000000001</v>
      </c>
      <c r="F24" s="4">
        <v>0.96650000000000003</v>
      </c>
      <c r="G24" s="4">
        <v>0.96679999999999999</v>
      </c>
      <c r="H24" s="4">
        <v>0.84619999999999995</v>
      </c>
      <c r="I24" s="4">
        <v>0.98209999999999997</v>
      </c>
      <c r="J24" s="4">
        <v>0.94950000000000001</v>
      </c>
      <c r="K24" s="4">
        <v>0.90910000000000002</v>
      </c>
    </row>
    <row r="25" spans="1:11">
      <c r="A25" s="1"/>
      <c r="B25" s="1"/>
      <c r="C25" s="1"/>
      <c r="D25" s="1"/>
      <c r="E25" t="str">
        <f xml:space="preserve"> TEXT(AVERAGE(E20:E24),"0.0000") &amp; "±" &amp; TEXT(_xlfn.STDEV.S(E20:E24),"0.0000")</f>
        <v>0.9745±0.0047</v>
      </c>
      <c r="F25" t="str">
        <f t="shared" ref="F25:K25" si="3" xml:space="preserve"> TEXT(AVERAGE(F20:F24),"0.0000") &amp; "±" &amp; TEXT(_xlfn.STDEV.S(F20:F24),"0.0000")</f>
        <v>0.9365±0.0196</v>
      </c>
      <c r="G25" t="str">
        <f t="shared" si="3"/>
        <v>0.9374±0.0192</v>
      </c>
      <c r="H25" t="str">
        <f t="shared" si="3"/>
        <v>0.8762±0.0261</v>
      </c>
      <c r="I25" t="str">
        <f t="shared" si="3"/>
        <v>0.8714±0.0782</v>
      </c>
      <c r="J25" t="str">
        <f t="shared" si="3"/>
        <v>0.9349±0.0143</v>
      </c>
      <c r="K25" t="str">
        <f t="shared" si="3"/>
        <v>0.8717±0.0338</v>
      </c>
    </row>
    <row r="26" spans="1:11">
      <c r="A26" s="2" t="s">
        <v>17</v>
      </c>
      <c r="B26" s="1" t="s">
        <v>16</v>
      </c>
      <c r="C26" s="1">
        <v>42</v>
      </c>
      <c r="D26" s="4">
        <v>30</v>
      </c>
      <c r="E26" s="4">
        <v>0.98</v>
      </c>
      <c r="F26" s="4">
        <v>0.98670000000000002</v>
      </c>
      <c r="G26" s="4">
        <v>0.98670000000000002</v>
      </c>
      <c r="H26" s="4">
        <v>0.93469999999999998</v>
      </c>
      <c r="I26" s="4">
        <v>0.95879999999999999</v>
      </c>
      <c r="J26" s="4">
        <v>0.93379999999999996</v>
      </c>
      <c r="K26" s="4">
        <v>0.9466</v>
      </c>
    </row>
    <row r="27" spans="1:11">
      <c r="A27" s="2" t="s">
        <v>17</v>
      </c>
      <c r="B27" s="1" t="s">
        <v>16</v>
      </c>
      <c r="C27" s="1">
        <v>1234</v>
      </c>
      <c r="D27" s="4">
        <v>30</v>
      </c>
      <c r="E27" s="4">
        <v>0.98909999999999998</v>
      </c>
      <c r="F27" s="4">
        <v>0.9929</v>
      </c>
      <c r="G27" s="4">
        <v>0.9929</v>
      </c>
      <c r="H27" s="4">
        <v>0.95899999999999996</v>
      </c>
      <c r="I27" s="4">
        <v>0.96389999999999998</v>
      </c>
      <c r="J27" s="4">
        <v>0.95269999999999999</v>
      </c>
      <c r="K27" s="4">
        <v>0.96140000000000003</v>
      </c>
    </row>
    <row r="28" spans="1:11">
      <c r="A28" s="2" t="s">
        <v>17</v>
      </c>
      <c r="B28" s="1" t="s">
        <v>16</v>
      </c>
      <c r="C28" s="1">
        <v>2025</v>
      </c>
      <c r="D28" s="4">
        <v>30</v>
      </c>
      <c r="E28" s="4">
        <v>0.98040000000000005</v>
      </c>
      <c r="F28" s="4">
        <v>0.98570000000000002</v>
      </c>
      <c r="G28" s="4">
        <v>0.98570000000000002</v>
      </c>
      <c r="H28" s="4">
        <v>0.92649999999999999</v>
      </c>
      <c r="I28" s="4">
        <v>0.97419999999999995</v>
      </c>
      <c r="J28" s="4">
        <v>0.93689999999999996</v>
      </c>
      <c r="K28" s="4">
        <v>0.94969999999999999</v>
      </c>
    </row>
    <row r="29" spans="1:11">
      <c r="A29" s="2" t="s">
        <v>17</v>
      </c>
      <c r="B29" s="1" t="s">
        <v>16</v>
      </c>
      <c r="C29" s="1">
        <v>12345</v>
      </c>
      <c r="D29" s="4">
        <v>25</v>
      </c>
      <c r="E29" s="4">
        <v>0.98070000000000002</v>
      </c>
      <c r="F29" s="4">
        <v>0.98719999999999997</v>
      </c>
      <c r="G29" s="4">
        <v>0.98719999999999997</v>
      </c>
      <c r="H29" s="4">
        <v>0.92569999999999997</v>
      </c>
      <c r="I29" s="4">
        <v>0.96389999999999998</v>
      </c>
      <c r="J29" s="4">
        <v>0.93059999999999998</v>
      </c>
      <c r="K29" s="4">
        <v>0.94440000000000002</v>
      </c>
    </row>
    <row r="30" spans="1:11">
      <c r="A30" s="2" t="s">
        <v>17</v>
      </c>
      <c r="B30" s="1" t="s">
        <v>16</v>
      </c>
      <c r="C30" s="1">
        <v>666</v>
      </c>
      <c r="D30" s="4">
        <v>22</v>
      </c>
      <c r="E30" s="4">
        <v>0.98299999999999998</v>
      </c>
      <c r="F30" s="4">
        <v>0.9889</v>
      </c>
      <c r="G30" s="4">
        <v>0.98899999999999999</v>
      </c>
      <c r="H30" s="4">
        <v>0.94389999999999996</v>
      </c>
      <c r="I30" s="4">
        <v>0.9536</v>
      </c>
      <c r="J30" s="4">
        <v>0.93689999999999996</v>
      </c>
      <c r="K30" s="4">
        <v>0.94869999999999999</v>
      </c>
    </row>
    <row r="31" spans="1:11">
      <c r="E31" t="str">
        <f xml:space="preserve"> TEXT(AVERAGE(E26:E30),"0.0000") &amp; "±" &amp; TEXT(_xlfn.STDEV.S(E26:E30),"0.0000")</f>
        <v>0.9826±0.0038</v>
      </c>
      <c r="F31" t="str">
        <f t="shared" ref="F31:K31" si="4" xml:space="preserve"> TEXT(AVERAGE(F26:F30),"0.0000") &amp; "±" &amp; TEXT(_xlfn.STDEV.S(F26:F30),"0.0000")</f>
        <v>0.9883±0.0028</v>
      </c>
      <c r="G31" t="str">
        <f t="shared" si="4"/>
        <v>0.9883±0.0028</v>
      </c>
      <c r="H31" t="str">
        <f t="shared" si="4"/>
        <v>0.9380±0.0139</v>
      </c>
      <c r="I31" t="str">
        <f t="shared" si="4"/>
        <v>0.9629±0.0076</v>
      </c>
      <c r="J31" t="str">
        <f t="shared" si="4"/>
        <v>0.9382±0.0085</v>
      </c>
      <c r="K31" t="str">
        <f t="shared" si="4"/>
        <v>0.9502±0.0066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AEE6-AEDC-49AA-B1CC-464D1D19E892}">
  <dimension ref="A1:L31"/>
  <sheetViews>
    <sheetView tabSelected="1" workbookViewId="0">
      <selection activeCell="E34" sqref="E34"/>
    </sheetView>
  </sheetViews>
  <sheetFormatPr defaultRowHeight="14.2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2">
      <c r="A2" s="3" t="s">
        <v>18</v>
      </c>
      <c r="B2" s="1" t="s">
        <v>12</v>
      </c>
      <c r="C2" s="1">
        <v>42</v>
      </c>
      <c r="D2" s="4">
        <v>17</v>
      </c>
      <c r="E2" s="4">
        <v>0.90549999999999997</v>
      </c>
      <c r="F2" s="4">
        <v>0.88480000000000003</v>
      </c>
      <c r="G2" s="4">
        <v>0.88529999999999998</v>
      </c>
      <c r="H2" s="4">
        <v>0.79469999999999996</v>
      </c>
      <c r="I2" s="4">
        <v>0.86580000000000001</v>
      </c>
      <c r="J2" s="4">
        <v>0.83</v>
      </c>
      <c r="K2" s="4">
        <v>0.82869999999999999</v>
      </c>
      <c r="L2" s="4"/>
    </row>
    <row r="3" spans="1:12">
      <c r="A3" s="3" t="s">
        <v>18</v>
      </c>
      <c r="B3" s="1" t="s">
        <v>12</v>
      </c>
      <c r="C3" s="1">
        <v>1234</v>
      </c>
      <c r="D3" s="4">
        <v>13</v>
      </c>
      <c r="E3" s="4">
        <v>0.878</v>
      </c>
      <c r="F3" s="4">
        <v>0.84509999999999996</v>
      </c>
      <c r="G3" s="4">
        <v>0.84550000000000003</v>
      </c>
      <c r="H3" s="4">
        <v>0.80800000000000005</v>
      </c>
      <c r="I3" s="4">
        <v>0.74209999999999998</v>
      </c>
      <c r="J3" s="4">
        <v>0.79369999999999996</v>
      </c>
      <c r="K3" s="4">
        <v>0.77370000000000005</v>
      </c>
      <c r="L3" s="4"/>
    </row>
    <row r="4" spans="1:12">
      <c r="A4" s="3" t="s">
        <v>18</v>
      </c>
      <c r="B4" s="1" t="s">
        <v>12</v>
      </c>
      <c r="C4" s="1">
        <v>2025</v>
      </c>
      <c r="D4" s="4">
        <v>13</v>
      </c>
      <c r="E4" s="4">
        <v>0.8931</v>
      </c>
      <c r="F4" s="4">
        <v>0.87290000000000001</v>
      </c>
      <c r="G4" s="4">
        <v>0.87329999999999997</v>
      </c>
      <c r="H4" s="4">
        <v>0.77859999999999996</v>
      </c>
      <c r="I4" s="4">
        <v>0.84209999999999996</v>
      </c>
      <c r="J4" s="4">
        <v>0.81130000000000002</v>
      </c>
      <c r="K4" s="4">
        <v>0.80910000000000004</v>
      </c>
      <c r="L4" s="4"/>
    </row>
    <row r="5" spans="1:12">
      <c r="A5" s="3" t="s">
        <v>18</v>
      </c>
      <c r="B5" s="1" t="s">
        <v>12</v>
      </c>
      <c r="C5" s="1">
        <v>12345</v>
      </c>
      <c r="D5" s="4">
        <v>25</v>
      </c>
      <c r="E5" s="4">
        <v>0.87480000000000002</v>
      </c>
      <c r="F5" s="4">
        <v>0.86529999999999996</v>
      </c>
      <c r="G5" s="4">
        <v>0.86560000000000004</v>
      </c>
      <c r="H5" s="4">
        <v>0.75600000000000001</v>
      </c>
      <c r="I5" s="4">
        <v>0.83160000000000001</v>
      </c>
      <c r="J5" s="4">
        <v>0.79249999999999998</v>
      </c>
      <c r="K5" s="4">
        <v>0.79200000000000004</v>
      </c>
      <c r="L5" s="4"/>
    </row>
    <row r="6" spans="1:12">
      <c r="A6" s="3" t="s">
        <v>18</v>
      </c>
      <c r="B6" s="1" t="s">
        <v>12</v>
      </c>
      <c r="C6" s="1">
        <v>666</v>
      </c>
      <c r="D6" s="4">
        <v>28</v>
      </c>
      <c r="E6" s="4">
        <v>0.89610000000000001</v>
      </c>
      <c r="F6" s="4">
        <v>0.8821</v>
      </c>
      <c r="G6" s="4">
        <v>0.88229999999999997</v>
      </c>
      <c r="H6" s="4">
        <v>0.80410000000000004</v>
      </c>
      <c r="I6" s="4">
        <v>0.82110000000000005</v>
      </c>
      <c r="J6" s="4">
        <v>0.82</v>
      </c>
      <c r="K6" s="4">
        <v>0.8125</v>
      </c>
      <c r="L6" s="4"/>
    </row>
    <row r="7" spans="1:12">
      <c r="A7" s="1"/>
      <c r="B7" s="1"/>
      <c r="C7" s="1"/>
      <c r="D7" s="1"/>
      <c r="E7" t="str">
        <f xml:space="preserve"> TEXT(AVERAGE(E2:E6),"0.0000") &amp; "±" &amp; TEXT(_xlfn.STDEV.S(E2:E6),"0.0000")</f>
        <v>0.8895±0.0129</v>
      </c>
      <c r="F7" t="str">
        <f t="shared" ref="F7:K7" si="0" xml:space="preserve"> TEXT(AVERAGE(F2:F6),"0.0000") &amp; "±" &amp; TEXT(_xlfn.STDEV.S(F2:F6),"0.0000")</f>
        <v>0.8700±0.0159</v>
      </c>
      <c r="G7" t="str">
        <f t="shared" si="0"/>
        <v>0.8704±0.0159</v>
      </c>
      <c r="H7" t="str">
        <f t="shared" si="0"/>
        <v>0.7883±0.0213</v>
      </c>
      <c r="I7" t="str">
        <f t="shared" si="0"/>
        <v>0.8205±0.0469</v>
      </c>
      <c r="J7" t="str">
        <f t="shared" si="0"/>
        <v>0.8095±0.0164</v>
      </c>
      <c r="K7" t="str">
        <f t="shared" si="0"/>
        <v>0.8032±0.0210</v>
      </c>
    </row>
    <row r="8" spans="1:12">
      <c r="A8" s="3" t="s">
        <v>18</v>
      </c>
      <c r="B8" s="1" t="s">
        <v>13</v>
      </c>
      <c r="C8" s="1">
        <v>42</v>
      </c>
      <c r="D8" s="4">
        <v>27</v>
      </c>
      <c r="E8" s="4">
        <v>0.87239999999999995</v>
      </c>
      <c r="F8" s="4">
        <v>0.87890000000000001</v>
      </c>
      <c r="G8" s="4">
        <v>0.879</v>
      </c>
      <c r="H8" s="4">
        <v>0.74550000000000005</v>
      </c>
      <c r="I8" s="4">
        <v>0.83789999999999998</v>
      </c>
      <c r="J8" s="4">
        <v>0.77759999999999996</v>
      </c>
      <c r="K8" s="4">
        <v>0.78900000000000003</v>
      </c>
      <c r="L8" s="4"/>
    </row>
    <row r="9" spans="1:12">
      <c r="A9" s="3" t="s">
        <v>18</v>
      </c>
      <c r="B9" s="1" t="s">
        <v>13</v>
      </c>
      <c r="C9" s="1">
        <v>1234</v>
      </c>
      <c r="D9" s="4">
        <v>11</v>
      </c>
      <c r="E9" s="4">
        <v>0.85519999999999996</v>
      </c>
      <c r="F9" s="4">
        <v>0.85609999999999997</v>
      </c>
      <c r="G9" s="4">
        <v>0.85619999999999996</v>
      </c>
      <c r="H9" s="4">
        <v>0.78690000000000004</v>
      </c>
      <c r="I9" s="4">
        <v>0.75690000000000002</v>
      </c>
      <c r="J9" s="4">
        <v>0.77759999999999996</v>
      </c>
      <c r="K9" s="4">
        <v>0.77159999999999995</v>
      </c>
      <c r="L9" s="4"/>
    </row>
    <row r="10" spans="1:12">
      <c r="A10" s="3" t="s">
        <v>18</v>
      </c>
      <c r="B10" s="1" t="s">
        <v>13</v>
      </c>
      <c r="C10" s="1">
        <v>2025</v>
      </c>
      <c r="D10" s="4">
        <v>17</v>
      </c>
      <c r="E10" s="4">
        <v>0.86050000000000004</v>
      </c>
      <c r="F10" s="4">
        <v>0.86009999999999998</v>
      </c>
      <c r="G10" s="4">
        <v>0.86050000000000004</v>
      </c>
      <c r="H10" s="4">
        <v>0.76959999999999995</v>
      </c>
      <c r="I10" s="4">
        <v>0.80810000000000004</v>
      </c>
      <c r="J10" s="4">
        <v>0.78469999999999995</v>
      </c>
      <c r="K10" s="4">
        <v>0.78839999999999999</v>
      </c>
      <c r="L10" s="4"/>
    </row>
    <row r="11" spans="1:12">
      <c r="A11" s="3" t="s">
        <v>18</v>
      </c>
      <c r="B11" s="1" t="s">
        <v>13</v>
      </c>
      <c r="C11" s="1">
        <v>12345</v>
      </c>
      <c r="D11" s="4">
        <v>29</v>
      </c>
      <c r="E11" s="4">
        <v>0.85340000000000005</v>
      </c>
      <c r="F11" s="4">
        <v>0.86050000000000004</v>
      </c>
      <c r="G11" s="4">
        <v>0.86060000000000003</v>
      </c>
      <c r="H11" s="4">
        <v>0.76390000000000002</v>
      </c>
      <c r="I11" s="4">
        <v>0.78669999999999995</v>
      </c>
      <c r="J11" s="4">
        <v>0.77349999999999997</v>
      </c>
      <c r="K11" s="4">
        <v>0.77510000000000001</v>
      </c>
      <c r="L11" s="4"/>
    </row>
    <row r="12" spans="1:12">
      <c r="A12" s="3" t="s">
        <v>18</v>
      </c>
      <c r="B12" s="1" t="s">
        <v>13</v>
      </c>
      <c r="C12" s="1">
        <v>666</v>
      </c>
      <c r="D12" s="4">
        <v>28</v>
      </c>
      <c r="E12" s="4">
        <v>0.86829999999999996</v>
      </c>
      <c r="F12" s="4">
        <v>0.87129999999999996</v>
      </c>
      <c r="G12" s="4">
        <v>0.87139999999999995</v>
      </c>
      <c r="H12" s="4">
        <v>0.77739999999999998</v>
      </c>
      <c r="I12" s="4">
        <v>0.81169999999999998</v>
      </c>
      <c r="J12" s="4">
        <v>0.79120000000000001</v>
      </c>
      <c r="K12" s="4">
        <v>0.79420000000000002</v>
      </c>
      <c r="L12" s="4"/>
    </row>
    <row r="13" spans="1:12">
      <c r="A13" s="1"/>
      <c r="B13" s="1"/>
      <c r="C13" s="1"/>
      <c r="D13" s="1"/>
      <c r="E13" t="str">
        <f t="shared" ref="E13:K13" si="1" xml:space="preserve"> TEXT(AVERAGE(E8:E12),"0.0000") &amp; "±" &amp; TEXT(_xlfn.STDEV.S(E8:E12),"0.0000")</f>
        <v>0.8620±0.0082</v>
      </c>
      <c r="F13" t="str">
        <f t="shared" si="1"/>
        <v>0.8654±0.0094</v>
      </c>
      <c r="G13" t="str">
        <f t="shared" si="1"/>
        <v>0.8655±0.0094</v>
      </c>
      <c r="H13" t="str">
        <f t="shared" si="1"/>
        <v>0.7687±0.0156</v>
      </c>
      <c r="I13" t="str">
        <f t="shared" si="1"/>
        <v>0.8003±0.0303</v>
      </c>
      <c r="J13" t="str">
        <f t="shared" si="1"/>
        <v>0.7809±0.0070</v>
      </c>
      <c r="K13" t="str">
        <f t="shared" si="1"/>
        <v>0.7837±0.0098</v>
      </c>
    </row>
    <row r="14" spans="1:12">
      <c r="A14" s="3" t="s">
        <v>18</v>
      </c>
      <c r="B14" s="1" t="s">
        <v>14</v>
      </c>
      <c r="C14" s="1">
        <v>42</v>
      </c>
      <c r="D14" s="4">
        <v>7</v>
      </c>
      <c r="E14" s="4">
        <v>0.74250000000000005</v>
      </c>
      <c r="F14" s="4">
        <v>0.78690000000000004</v>
      </c>
      <c r="G14" s="4">
        <v>0.7873</v>
      </c>
      <c r="H14" s="4">
        <v>0.69640000000000002</v>
      </c>
      <c r="I14" s="4">
        <v>0.78580000000000005</v>
      </c>
      <c r="J14" s="4">
        <v>0.67720000000000002</v>
      </c>
      <c r="K14" s="4">
        <v>0.73839999999999995</v>
      </c>
      <c r="L14" s="4"/>
    </row>
    <row r="15" spans="1:12">
      <c r="A15" s="3" t="s">
        <v>18</v>
      </c>
      <c r="B15" s="1" t="s">
        <v>14</v>
      </c>
      <c r="C15" s="1">
        <v>1234</v>
      </c>
      <c r="D15" s="4">
        <v>3</v>
      </c>
      <c r="E15" s="4">
        <v>0.73029999999999995</v>
      </c>
      <c r="F15" s="4">
        <v>0.77710000000000001</v>
      </c>
      <c r="G15" s="4">
        <v>0.77729999999999999</v>
      </c>
      <c r="H15" s="4">
        <v>0.75</v>
      </c>
      <c r="I15" s="4">
        <v>0.69889999999999997</v>
      </c>
      <c r="J15" s="4">
        <v>0.69030000000000002</v>
      </c>
      <c r="K15" s="4">
        <v>0.72360000000000002</v>
      </c>
      <c r="L15" s="4"/>
    </row>
    <row r="16" spans="1:12">
      <c r="A16" s="3" t="s">
        <v>18</v>
      </c>
      <c r="B16" s="1" t="s">
        <v>14</v>
      </c>
      <c r="C16" s="1">
        <v>2025</v>
      </c>
      <c r="D16" s="4">
        <v>8</v>
      </c>
      <c r="E16" s="4">
        <v>0.72589999999999999</v>
      </c>
      <c r="F16" s="4">
        <v>0.76029999999999998</v>
      </c>
      <c r="G16" s="4">
        <v>0.76090000000000002</v>
      </c>
      <c r="H16" s="4">
        <v>0.70540000000000003</v>
      </c>
      <c r="I16" s="4">
        <v>0.7611</v>
      </c>
      <c r="J16" s="4">
        <v>0.67720000000000002</v>
      </c>
      <c r="K16" s="4">
        <v>0.73219999999999996</v>
      </c>
      <c r="L16" s="4"/>
    </row>
    <row r="17" spans="1:12">
      <c r="A17" s="3" t="s">
        <v>18</v>
      </c>
      <c r="B17" s="1" t="s">
        <v>14</v>
      </c>
      <c r="C17" s="1">
        <v>12345</v>
      </c>
      <c r="D17" s="4">
        <v>5</v>
      </c>
      <c r="E17" s="4">
        <v>0.72660000000000002</v>
      </c>
      <c r="F17" s="4">
        <v>0.76619999999999999</v>
      </c>
      <c r="G17" s="4">
        <v>0.76670000000000005</v>
      </c>
      <c r="H17" s="4">
        <v>0.70350000000000001</v>
      </c>
      <c r="I17" s="4">
        <v>0.72850000000000004</v>
      </c>
      <c r="J17" s="4">
        <v>0.66459999999999997</v>
      </c>
      <c r="K17" s="4">
        <v>0.71579999999999999</v>
      </c>
      <c r="L17" s="4"/>
    </row>
    <row r="18" spans="1:12">
      <c r="A18" s="3" t="s">
        <v>18</v>
      </c>
      <c r="B18" s="1" t="s">
        <v>14</v>
      </c>
      <c r="C18" s="1">
        <v>666</v>
      </c>
      <c r="D18" s="4">
        <v>1</v>
      </c>
      <c r="E18" s="4">
        <v>0.74109999999999998</v>
      </c>
      <c r="F18" s="4">
        <v>0.79620000000000002</v>
      </c>
      <c r="G18" s="4">
        <v>0.7964</v>
      </c>
      <c r="H18" s="4">
        <v>0.84489999999999998</v>
      </c>
      <c r="I18" s="4">
        <v>0.2636</v>
      </c>
      <c r="J18" s="4">
        <v>0.54490000000000005</v>
      </c>
      <c r="K18" s="4">
        <v>0.40179999999999999</v>
      </c>
      <c r="L18" s="4"/>
    </row>
    <row r="19" spans="1:12">
      <c r="A19" s="1"/>
      <c r="B19" s="1"/>
      <c r="C19" s="1"/>
      <c r="D19" s="1"/>
      <c r="E19" t="str">
        <f xml:space="preserve"> TEXT(AVERAGE(E14:E18),"0.0000") &amp; "±" &amp; TEXT(_xlfn.STDEV.S(E14:E18),"0.0000")</f>
        <v>0.7333±0.0080</v>
      </c>
      <c r="F19" t="str">
        <f t="shared" ref="F19:K19" si="2" xml:space="preserve"> TEXT(AVERAGE(F14:F18),"0.0000") &amp; "±" &amp; TEXT(_xlfn.STDEV.S(F14:F18),"0.0000")</f>
        <v>0.7773±0.0147</v>
      </c>
      <c r="G19" t="str">
        <f t="shared" si="2"/>
        <v>0.7777±0.0145</v>
      </c>
      <c r="H19" t="str">
        <f t="shared" si="2"/>
        <v>0.7400±0.0623</v>
      </c>
      <c r="I19" t="str">
        <f t="shared" si="2"/>
        <v>0.6476±0.2171</v>
      </c>
      <c r="J19" t="str">
        <f t="shared" si="2"/>
        <v>0.6508±0.0599</v>
      </c>
      <c r="K19" t="str">
        <f t="shared" si="2"/>
        <v>0.6624±0.1459</v>
      </c>
    </row>
    <row r="20" spans="1:12">
      <c r="A20" s="3" t="s">
        <v>18</v>
      </c>
      <c r="B20" s="1" t="s">
        <v>15</v>
      </c>
      <c r="C20" s="1">
        <v>42</v>
      </c>
      <c r="D20" s="4">
        <v>16</v>
      </c>
      <c r="E20" s="4">
        <v>0.88149999999999995</v>
      </c>
      <c r="F20" s="4">
        <v>0.87339999999999995</v>
      </c>
      <c r="G20" s="4">
        <v>0.87390000000000001</v>
      </c>
      <c r="H20" s="4">
        <v>0.84499999999999997</v>
      </c>
      <c r="I20" s="4">
        <v>0.73650000000000004</v>
      </c>
      <c r="J20" s="4">
        <v>0.82850000000000001</v>
      </c>
      <c r="K20" s="4">
        <v>0.78700000000000003</v>
      </c>
      <c r="L20" s="4"/>
    </row>
    <row r="21" spans="1:12">
      <c r="A21" s="3" t="s">
        <v>18</v>
      </c>
      <c r="B21" s="1" t="s">
        <v>15</v>
      </c>
      <c r="C21" s="1">
        <v>1234</v>
      </c>
      <c r="D21" s="4">
        <v>23</v>
      </c>
      <c r="E21" s="4">
        <v>0.88160000000000005</v>
      </c>
      <c r="F21" s="4">
        <v>0.8639</v>
      </c>
      <c r="G21" s="4">
        <v>0.86450000000000005</v>
      </c>
      <c r="H21" s="4">
        <v>0.75639999999999996</v>
      </c>
      <c r="I21" s="4">
        <v>0.79730000000000001</v>
      </c>
      <c r="J21" s="4">
        <v>0.80230000000000001</v>
      </c>
      <c r="K21" s="4">
        <v>0.77629999999999999</v>
      </c>
      <c r="L21" s="4"/>
    </row>
    <row r="22" spans="1:12">
      <c r="A22" s="3" t="s">
        <v>18</v>
      </c>
      <c r="B22" s="1" t="s">
        <v>15</v>
      </c>
      <c r="C22" s="1">
        <v>2025</v>
      </c>
      <c r="D22" s="4">
        <v>20</v>
      </c>
      <c r="E22" s="4">
        <v>0.86140000000000005</v>
      </c>
      <c r="F22" s="4">
        <v>0.84199999999999997</v>
      </c>
      <c r="G22" s="4">
        <v>0.84279999999999999</v>
      </c>
      <c r="H22" s="4">
        <v>0.75</v>
      </c>
      <c r="I22" s="4">
        <v>0.79049999999999998</v>
      </c>
      <c r="J22" s="4">
        <v>0.79649999999999999</v>
      </c>
      <c r="K22" s="4">
        <v>0.76970000000000005</v>
      </c>
      <c r="L22" s="4"/>
    </row>
    <row r="23" spans="1:12">
      <c r="A23" s="3" t="s">
        <v>18</v>
      </c>
      <c r="B23" s="1" t="s">
        <v>15</v>
      </c>
      <c r="C23" s="1">
        <v>12345</v>
      </c>
      <c r="D23" s="4">
        <v>19</v>
      </c>
      <c r="E23" s="4">
        <v>0.85189999999999999</v>
      </c>
      <c r="F23" s="4">
        <v>0.81879999999999997</v>
      </c>
      <c r="G23" s="4">
        <v>0.81979999999999997</v>
      </c>
      <c r="H23" s="4">
        <v>0.74209999999999998</v>
      </c>
      <c r="I23" s="4">
        <v>0.79730000000000001</v>
      </c>
      <c r="J23" s="4">
        <v>0.79359999999999997</v>
      </c>
      <c r="K23" s="4">
        <v>0.76870000000000005</v>
      </c>
      <c r="L23" s="4"/>
    </row>
    <row r="24" spans="1:12">
      <c r="A24" s="3" t="s">
        <v>18</v>
      </c>
      <c r="B24" s="1" t="s">
        <v>15</v>
      </c>
      <c r="C24" s="1">
        <v>666</v>
      </c>
      <c r="D24" s="4">
        <v>17</v>
      </c>
      <c r="E24" s="4">
        <v>0.86519999999999997</v>
      </c>
      <c r="F24" s="4">
        <v>0.82989999999999997</v>
      </c>
      <c r="G24" s="4">
        <v>0.8337</v>
      </c>
      <c r="H24" s="4">
        <v>0.78869999999999996</v>
      </c>
      <c r="I24" s="4">
        <v>0.75680000000000003</v>
      </c>
      <c r="J24" s="4">
        <v>0.80810000000000004</v>
      </c>
      <c r="K24" s="4">
        <v>0.77239999999999998</v>
      </c>
      <c r="L24" s="4"/>
    </row>
    <row r="25" spans="1:12">
      <c r="A25" s="1"/>
      <c r="B25" s="1"/>
      <c r="C25" s="1"/>
      <c r="D25" s="1"/>
      <c r="E25" t="str">
        <f xml:space="preserve"> TEXT(AVERAGE(E20:E24),"0.0000") &amp; "±" &amp; TEXT(_xlfn.STDEV.S(E20:E24),"0.0000")</f>
        <v>0.8683±0.0130</v>
      </c>
      <c r="F25" t="str">
        <f t="shared" ref="F25:K25" si="3" xml:space="preserve"> TEXT(AVERAGE(F20:F24),"0.0000") &amp; "±" &amp; TEXT(_xlfn.STDEV.S(F20:F24),"0.0000")</f>
        <v>0.8456±0.0228</v>
      </c>
      <c r="G25" t="str">
        <f t="shared" si="3"/>
        <v>0.8469±0.0222</v>
      </c>
      <c r="H25" t="str">
        <f t="shared" si="3"/>
        <v>0.7764±0.0422</v>
      </c>
      <c r="I25" t="str">
        <f t="shared" si="3"/>
        <v>0.7757±0.0276</v>
      </c>
      <c r="J25" t="str">
        <f t="shared" si="3"/>
        <v>0.8058±0.0139</v>
      </c>
      <c r="K25" t="str">
        <f t="shared" si="3"/>
        <v>0.7748±0.0074</v>
      </c>
    </row>
    <row r="26" spans="1:12">
      <c r="A26" s="3" t="s">
        <v>18</v>
      </c>
      <c r="B26" s="1" t="s">
        <v>16</v>
      </c>
      <c r="C26" s="1">
        <v>42</v>
      </c>
      <c r="D26" s="4">
        <v>5</v>
      </c>
      <c r="E26" s="4">
        <v>0.7913</v>
      </c>
      <c r="F26" s="4">
        <v>0.80530000000000002</v>
      </c>
      <c r="G26" s="4">
        <v>0.80649999999999999</v>
      </c>
      <c r="H26" s="4">
        <v>0.64159999999999995</v>
      </c>
      <c r="I26" s="4">
        <v>0.90980000000000005</v>
      </c>
      <c r="J26" s="4">
        <v>0.68530000000000002</v>
      </c>
      <c r="K26" s="4">
        <v>0.75249999999999995</v>
      </c>
      <c r="L26" s="4"/>
    </row>
    <row r="27" spans="1:12">
      <c r="A27" s="3" t="s">
        <v>18</v>
      </c>
      <c r="B27" s="1" t="s">
        <v>16</v>
      </c>
      <c r="C27" s="1">
        <v>1234</v>
      </c>
      <c r="D27" s="4">
        <v>5</v>
      </c>
      <c r="E27" s="4">
        <v>0.76449999999999996</v>
      </c>
      <c r="F27" s="4">
        <v>0.75360000000000005</v>
      </c>
      <c r="G27" s="4">
        <v>0.75539999999999996</v>
      </c>
      <c r="H27" s="4">
        <v>0.7</v>
      </c>
      <c r="I27" s="4">
        <v>0.80330000000000001</v>
      </c>
      <c r="J27" s="4">
        <v>0.71550000000000002</v>
      </c>
      <c r="K27" s="4">
        <v>0.74809999999999999</v>
      </c>
      <c r="L27" s="4"/>
    </row>
    <row r="28" spans="1:12">
      <c r="A28" s="3" t="s">
        <v>18</v>
      </c>
      <c r="B28" s="1" t="s">
        <v>16</v>
      </c>
      <c r="C28" s="1">
        <v>2025</v>
      </c>
      <c r="D28" s="4">
        <v>11</v>
      </c>
      <c r="E28" s="4">
        <v>0.74770000000000003</v>
      </c>
      <c r="F28" s="4">
        <v>0.71740000000000004</v>
      </c>
      <c r="G28" s="4">
        <v>0.72160000000000002</v>
      </c>
      <c r="H28" s="4">
        <v>0.6452</v>
      </c>
      <c r="I28" s="4">
        <v>0.81969999999999998</v>
      </c>
      <c r="J28" s="4">
        <v>0.66810000000000003</v>
      </c>
      <c r="K28" s="4">
        <v>0.72199999999999998</v>
      </c>
      <c r="L28" s="4"/>
    </row>
    <row r="29" spans="1:12">
      <c r="A29" s="3" t="s">
        <v>18</v>
      </c>
      <c r="B29" s="1" t="s">
        <v>16</v>
      </c>
      <c r="C29" s="1">
        <v>12345</v>
      </c>
      <c r="D29" s="4">
        <v>27</v>
      </c>
      <c r="E29" s="4">
        <v>0.74109999999999998</v>
      </c>
      <c r="F29" s="4">
        <v>0.70099999999999996</v>
      </c>
      <c r="G29" s="4">
        <v>0.7046</v>
      </c>
      <c r="H29" s="4">
        <v>0.66449999999999998</v>
      </c>
      <c r="I29" s="4">
        <v>0.84430000000000005</v>
      </c>
      <c r="J29" s="4">
        <v>0.69399999999999995</v>
      </c>
      <c r="K29" s="4">
        <v>0.74370000000000003</v>
      </c>
      <c r="L29" s="4"/>
    </row>
    <row r="30" spans="1:12">
      <c r="A30" s="3" t="s">
        <v>18</v>
      </c>
      <c r="B30" s="1" t="s">
        <v>16</v>
      </c>
      <c r="C30" s="1">
        <v>666</v>
      </c>
      <c r="D30" s="4">
        <v>4</v>
      </c>
      <c r="E30" s="4">
        <v>0.75790000000000002</v>
      </c>
      <c r="F30" s="4">
        <v>0.78310000000000002</v>
      </c>
      <c r="G30" s="4">
        <v>0.7843</v>
      </c>
      <c r="H30" s="4">
        <v>0.64739999999999998</v>
      </c>
      <c r="I30" s="4">
        <v>0.82789999999999997</v>
      </c>
      <c r="J30" s="4">
        <v>0.6724</v>
      </c>
      <c r="K30" s="4">
        <v>0.72660000000000002</v>
      </c>
      <c r="L30" s="4"/>
    </row>
    <row r="31" spans="1:12">
      <c r="E31" t="str">
        <f xml:space="preserve"> TEXT(AVERAGE(E26:E30),"0.0000") &amp; "±" &amp; TEXT(_xlfn.STDEV.S(E26:E30),"0.0000")</f>
        <v>0.7605±0.0194</v>
      </c>
      <c r="F31" t="str">
        <f t="shared" ref="F31:K31" si="4" xml:space="preserve"> TEXT(AVERAGE(F26:F30),"0.0000") &amp; "±" &amp; TEXT(_xlfn.STDEV.S(F26:F30),"0.0000")</f>
        <v>0.7521±0.0436</v>
      </c>
      <c r="G31" t="str">
        <f t="shared" si="4"/>
        <v>0.7545±0.0423</v>
      </c>
      <c r="H31" t="str">
        <f t="shared" si="4"/>
        <v>0.6597±0.0242</v>
      </c>
      <c r="I31" t="str">
        <f t="shared" si="4"/>
        <v>0.8410±0.0412</v>
      </c>
      <c r="J31" t="str">
        <f t="shared" si="4"/>
        <v>0.6871±0.0189</v>
      </c>
      <c r="K31" t="str">
        <f t="shared" si="4"/>
        <v>0.7386±0.0135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5180-57AC-4BB6-B1CC-6E162588BEA5}">
  <dimension ref="A1:K31"/>
  <sheetViews>
    <sheetView workbookViewId="0">
      <selection activeCell="D27" sqref="D27"/>
    </sheetView>
  </sheetViews>
  <sheetFormatPr defaultRowHeight="14.2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3" t="s">
        <v>19</v>
      </c>
      <c r="B2" s="1" t="s">
        <v>12</v>
      </c>
      <c r="C2" s="1">
        <v>42</v>
      </c>
      <c r="D2" s="4">
        <v>24</v>
      </c>
      <c r="E2" s="4">
        <v>0.95930000000000004</v>
      </c>
      <c r="F2" s="4">
        <v>0.94810000000000005</v>
      </c>
      <c r="G2" s="4">
        <v>0.94830000000000003</v>
      </c>
      <c r="H2" s="4">
        <v>0.91039999999999999</v>
      </c>
      <c r="I2" s="4">
        <v>0.90590000000000004</v>
      </c>
      <c r="J2" s="4">
        <v>0.91300000000000003</v>
      </c>
      <c r="K2" s="4">
        <v>0.90820000000000001</v>
      </c>
    </row>
    <row r="3" spans="1:11">
      <c r="A3" s="3" t="s">
        <v>19</v>
      </c>
      <c r="B3" s="1" t="s">
        <v>12</v>
      </c>
      <c r="C3" s="1">
        <v>1234</v>
      </c>
      <c r="D3" s="4">
        <v>13</v>
      </c>
      <c r="E3" s="4">
        <v>0.94630000000000003</v>
      </c>
      <c r="F3" s="4">
        <v>0.93189999999999995</v>
      </c>
      <c r="G3" s="4">
        <v>0.93210000000000004</v>
      </c>
      <c r="H3" s="4">
        <v>0.87319999999999998</v>
      </c>
      <c r="I3" s="4">
        <v>0.90349999999999997</v>
      </c>
      <c r="J3" s="4">
        <v>0.89190000000000003</v>
      </c>
      <c r="K3" s="4">
        <v>0.8881</v>
      </c>
    </row>
    <row r="4" spans="1:11">
      <c r="A4" s="3" t="s">
        <v>19</v>
      </c>
      <c r="B4" s="1" t="s">
        <v>12</v>
      </c>
      <c r="C4" s="1">
        <v>2025</v>
      </c>
      <c r="D4" s="4">
        <v>10</v>
      </c>
      <c r="E4" s="4">
        <v>0.95169999999999999</v>
      </c>
      <c r="F4" s="4">
        <v>0.94420000000000004</v>
      </c>
      <c r="G4" s="4">
        <v>0.94430000000000003</v>
      </c>
      <c r="H4" s="4">
        <v>0.84899999999999998</v>
      </c>
      <c r="I4" s="4">
        <v>0.91830000000000001</v>
      </c>
      <c r="J4" s="4">
        <v>0.88370000000000004</v>
      </c>
      <c r="K4" s="4">
        <v>0.88229999999999997</v>
      </c>
    </row>
    <row r="5" spans="1:11">
      <c r="A5" s="3" t="s">
        <v>19</v>
      </c>
      <c r="B5" s="1" t="s">
        <v>12</v>
      </c>
      <c r="C5" s="1">
        <v>12345</v>
      </c>
      <c r="D5" s="4">
        <v>12</v>
      </c>
      <c r="E5" s="4">
        <v>0.93979999999999997</v>
      </c>
      <c r="F5" s="4">
        <v>0.92</v>
      </c>
      <c r="G5" s="4">
        <v>0.92020000000000002</v>
      </c>
      <c r="H5" s="4">
        <v>0.84899999999999998</v>
      </c>
      <c r="I5" s="4">
        <v>0.91830000000000001</v>
      </c>
      <c r="J5" s="4">
        <v>0.88370000000000004</v>
      </c>
      <c r="K5" s="4">
        <v>0.88229999999999997</v>
      </c>
    </row>
    <row r="6" spans="1:11">
      <c r="A6" s="3" t="s">
        <v>19</v>
      </c>
      <c r="B6" s="1" t="s">
        <v>12</v>
      </c>
      <c r="C6" s="1">
        <v>666</v>
      </c>
      <c r="D6" s="4">
        <v>12</v>
      </c>
      <c r="E6" s="4">
        <v>0.95550000000000002</v>
      </c>
      <c r="F6" s="4">
        <v>0.94850000000000001</v>
      </c>
      <c r="G6" s="4">
        <v>0.9486</v>
      </c>
      <c r="H6" s="4">
        <v>0.89190000000000003</v>
      </c>
      <c r="I6" s="4">
        <v>0.89849999999999997</v>
      </c>
      <c r="J6" s="4">
        <v>0.90010000000000001</v>
      </c>
      <c r="K6" s="4">
        <v>0.8952</v>
      </c>
    </row>
    <row r="7" spans="1:11">
      <c r="A7" s="1"/>
      <c r="B7" s="1"/>
      <c r="C7" s="1"/>
      <c r="D7" s="1"/>
      <c r="E7" t="str">
        <f xml:space="preserve"> TEXT(AVERAGE(E2:E6),"0.0000") &amp; "±" &amp; TEXT(_xlfn.STDEV.S(E2:E6),"0.0000")</f>
        <v>0.9505±0.0077</v>
      </c>
      <c r="F7" t="str">
        <f t="shared" ref="F7:K7" si="0" xml:space="preserve"> TEXT(AVERAGE(F2:F6),"0.0000") &amp; "±" &amp; TEXT(_xlfn.STDEV.S(F2:F6),"0.0000")</f>
        <v>0.9385±0.0124</v>
      </c>
      <c r="G7" t="str">
        <f t="shared" si="0"/>
        <v>0.9387±0.0123</v>
      </c>
      <c r="H7" t="str">
        <f t="shared" si="0"/>
        <v>0.8747±0.0269</v>
      </c>
      <c r="I7" t="str">
        <f t="shared" si="0"/>
        <v>0.9089±0.0090</v>
      </c>
      <c r="J7" t="str">
        <f t="shared" si="0"/>
        <v>0.8945±0.0124</v>
      </c>
      <c r="K7" t="str">
        <f t="shared" si="0"/>
        <v>0.8912±0.0109</v>
      </c>
    </row>
    <row r="8" spans="1:11">
      <c r="A8" s="3" t="s">
        <v>19</v>
      </c>
      <c r="B8" s="1" t="s">
        <v>13</v>
      </c>
      <c r="C8" s="1">
        <v>42</v>
      </c>
      <c r="D8" s="4">
        <v>24</v>
      </c>
      <c r="E8" s="4">
        <v>0.94169999999999998</v>
      </c>
      <c r="F8" s="4">
        <v>0.93830000000000002</v>
      </c>
      <c r="G8" s="4">
        <v>0.93840000000000001</v>
      </c>
      <c r="H8" s="4">
        <v>0.86919999999999997</v>
      </c>
      <c r="I8" s="4">
        <v>0.88419999999999999</v>
      </c>
      <c r="J8" s="4">
        <v>0.877</v>
      </c>
      <c r="K8" s="4">
        <v>0.87660000000000005</v>
      </c>
    </row>
    <row r="9" spans="1:11">
      <c r="A9" s="3" t="s">
        <v>19</v>
      </c>
      <c r="B9" s="1" t="s">
        <v>13</v>
      </c>
      <c r="C9" s="1">
        <v>1234</v>
      </c>
      <c r="D9" s="4">
        <v>22</v>
      </c>
      <c r="E9" s="4">
        <v>0.9375</v>
      </c>
      <c r="F9" s="4">
        <v>0.93359999999999999</v>
      </c>
      <c r="G9" s="4">
        <v>0.93369999999999997</v>
      </c>
      <c r="H9" s="4">
        <v>0.85589999999999999</v>
      </c>
      <c r="I9" s="4">
        <v>0.88529999999999998</v>
      </c>
      <c r="J9" s="4">
        <v>0.86960000000000004</v>
      </c>
      <c r="K9" s="4">
        <v>0.87029999999999996</v>
      </c>
    </row>
    <row r="10" spans="1:11">
      <c r="A10" s="3" t="s">
        <v>19</v>
      </c>
      <c r="B10" s="1" t="s">
        <v>13</v>
      </c>
      <c r="C10" s="1">
        <v>2025</v>
      </c>
      <c r="D10" s="4">
        <v>18</v>
      </c>
      <c r="E10" s="4">
        <v>0.94510000000000005</v>
      </c>
      <c r="F10" s="4">
        <v>0.94259999999999999</v>
      </c>
      <c r="G10" s="4">
        <v>0.94259999999999999</v>
      </c>
      <c r="H10" s="4">
        <v>0.85370000000000001</v>
      </c>
      <c r="I10" s="4">
        <v>0.89680000000000004</v>
      </c>
      <c r="J10" s="4">
        <v>0.873</v>
      </c>
      <c r="K10" s="4">
        <v>0.87470000000000003</v>
      </c>
    </row>
    <row r="11" spans="1:11">
      <c r="A11" s="3" t="s">
        <v>19</v>
      </c>
      <c r="B11" s="1" t="s">
        <v>13</v>
      </c>
      <c r="C11" s="1">
        <v>12345</v>
      </c>
      <c r="D11" s="4">
        <v>25</v>
      </c>
      <c r="E11" s="4">
        <v>0.9335</v>
      </c>
      <c r="F11" s="4">
        <v>0.92989999999999995</v>
      </c>
      <c r="G11" s="4">
        <v>0.92989999999999995</v>
      </c>
      <c r="H11" s="4">
        <v>0.81810000000000005</v>
      </c>
      <c r="I11" s="4">
        <v>0.91279999999999994</v>
      </c>
      <c r="J11" s="4">
        <v>0.85660000000000003</v>
      </c>
      <c r="K11" s="4">
        <v>0.8629</v>
      </c>
    </row>
    <row r="12" spans="1:11">
      <c r="A12" s="3" t="s">
        <v>19</v>
      </c>
      <c r="B12" s="1" t="s">
        <v>13</v>
      </c>
      <c r="C12" s="1">
        <v>666</v>
      </c>
      <c r="D12" s="4">
        <v>19</v>
      </c>
      <c r="E12" s="4">
        <v>0.94110000000000005</v>
      </c>
      <c r="F12" s="4">
        <v>0.94240000000000002</v>
      </c>
      <c r="G12" s="4">
        <v>0.9425</v>
      </c>
      <c r="H12" s="4">
        <v>0.8488</v>
      </c>
      <c r="I12" s="4">
        <v>0.90139999999999998</v>
      </c>
      <c r="J12" s="4">
        <v>0.87190000000000001</v>
      </c>
      <c r="K12" s="4">
        <v>0.87429999999999997</v>
      </c>
    </row>
    <row r="13" spans="1:11">
      <c r="A13" s="1"/>
      <c r="B13" s="1"/>
      <c r="C13" s="1"/>
      <c r="D13" s="1"/>
      <c r="E13" t="str">
        <f t="shared" ref="E13:K13" si="1" xml:space="preserve"> TEXT(AVERAGE(E8:E12),"0.0000") &amp; "±" &amp; TEXT(_xlfn.STDEV.S(E8:E12),"0.0000")</f>
        <v>0.9398±0.0044</v>
      </c>
      <c r="F13" t="str">
        <f t="shared" si="1"/>
        <v>0.9374±0.0056</v>
      </c>
      <c r="G13" t="str">
        <f t="shared" si="1"/>
        <v>0.9374±0.0056</v>
      </c>
      <c r="H13" t="str">
        <f t="shared" si="1"/>
        <v>0.8491±0.0189</v>
      </c>
      <c r="I13" t="str">
        <f t="shared" si="1"/>
        <v>0.8961±0.0119</v>
      </c>
      <c r="J13" t="str">
        <f t="shared" si="1"/>
        <v>0.8696±0.0078</v>
      </c>
      <c r="K13" t="str">
        <f t="shared" si="1"/>
        <v>0.8718±0.0055</v>
      </c>
    </row>
    <row r="14" spans="1:11">
      <c r="A14" s="3" t="s">
        <v>19</v>
      </c>
      <c r="B14" s="1" t="s">
        <v>14</v>
      </c>
      <c r="C14" s="1">
        <v>42</v>
      </c>
      <c r="D14" s="4">
        <v>6</v>
      </c>
      <c r="E14" s="4">
        <v>0.78190000000000004</v>
      </c>
      <c r="F14" s="4">
        <v>0.81079999999999997</v>
      </c>
      <c r="G14" s="4">
        <v>0.81100000000000005</v>
      </c>
      <c r="H14" s="4">
        <v>0.64870000000000005</v>
      </c>
      <c r="I14" s="4">
        <v>0.8831</v>
      </c>
      <c r="J14" s="4">
        <v>0.67269999999999996</v>
      </c>
      <c r="K14" s="4">
        <v>0.748</v>
      </c>
    </row>
    <row r="15" spans="1:11">
      <c r="A15" s="3" t="s">
        <v>19</v>
      </c>
      <c r="B15" s="1" t="s">
        <v>14</v>
      </c>
      <c r="C15" s="1">
        <v>1234</v>
      </c>
      <c r="D15" s="4">
        <v>7</v>
      </c>
      <c r="E15" s="4">
        <v>0.74219999999999997</v>
      </c>
      <c r="F15" s="4">
        <v>0.76060000000000005</v>
      </c>
      <c r="G15" s="4">
        <v>0.76139999999999997</v>
      </c>
      <c r="H15" s="4">
        <v>0.63170000000000004</v>
      </c>
      <c r="I15" s="4">
        <v>0.87670000000000003</v>
      </c>
      <c r="J15" s="4">
        <v>0.65110000000000001</v>
      </c>
      <c r="K15" s="4">
        <v>0.73429999999999995</v>
      </c>
    </row>
    <row r="16" spans="1:11">
      <c r="A16" s="3" t="s">
        <v>19</v>
      </c>
      <c r="B16" s="1" t="s">
        <v>14</v>
      </c>
      <c r="C16" s="1">
        <v>2025</v>
      </c>
      <c r="D16" s="4">
        <v>8</v>
      </c>
      <c r="E16" s="4">
        <v>0.72250000000000003</v>
      </c>
      <c r="F16" s="4">
        <v>0.76100000000000001</v>
      </c>
      <c r="G16" s="4">
        <v>0.76119999999999999</v>
      </c>
      <c r="H16" s="4">
        <v>0.63380000000000003</v>
      </c>
      <c r="I16" s="4">
        <v>0.84060000000000001</v>
      </c>
      <c r="J16" s="4">
        <v>0.6452</v>
      </c>
      <c r="K16" s="4">
        <v>0.72270000000000001</v>
      </c>
    </row>
    <row r="17" spans="1:11">
      <c r="A17" s="3" t="s">
        <v>19</v>
      </c>
      <c r="B17" s="1" t="s">
        <v>14</v>
      </c>
      <c r="C17" s="1">
        <v>12345</v>
      </c>
      <c r="D17" s="4">
        <v>16</v>
      </c>
      <c r="E17" s="4">
        <v>0.77849999999999997</v>
      </c>
      <c r="F17" s="4">
        <v>0.80069999999999997</v>
      </c>
      <c r="G17" s="4">
        <v>0.80089999999999995</v>
      </c>
      <c r="H17" s="4">
        <v>0.66900000000000004</v>
      </c>
      <c r="I17" s="4">
        <v>0.89800000000000002</v>
      </c>
      <c r="J17" s="4">
        <v>0.6996</v>
      </c>
      <c r="K17" s="4">
        <v>0.76680000000000004</v>
      </c>
    </row>
    <row r="18" spans="1:11">
      <c r="A18" s="3" t="s">
        <v>19</v>
      </c>
      <c r="B18" s="1" t="s">
        <v>14</v>
      </c>
      <c r="C18" s="1">
        <v>666</v>
      </c>
      <c r="D18" s="4">
        <v>13</v>
      </c>
      <c r="E18" s="4">
        <v>0.79479999999999995</v>
      </c>
      <c r="F18" s="4">
        <v>0.83720000000000006</v>
      </c>
      <c r="G18" s="4">
        <v>0.83730000000000004</v>
      </c>
      <c r="H18" s="4">
        <v>0.65710000000000002</v>
      </c>
      <c r="I18" s="4">
        <v>0.9022</v>
      </c>
      <c r="J18" s="4">
        <v>0.68730000000000002</v>
      </c>
      <c r="K18" s="4">
        <v>0.76039999999999996</v>
      </c>
    </row>
    <row r="19" spans="1:11">
      <c r="A19" s="1"/>
      <c r="B19" s="1"/>
      <c r="C19" s="1"/>
      <c r="D19" s="1"/>
      <c r="E19" t="str">
        <f xml:space="preserve"> TEXT(AVERAGE(E14:E18),"0.0000") &amp; "±" &amp; TEXT(_xlfn.STDEV.S(E14:E18),"0.0000")</f>
        <v>0.7640±0.0303</v>
      </c>
      <c r="F19" t="str">
        <f t="shared" ref="F19:K19" si="2" xml:space="preserve"> TEXT(AVERAGE(F14:F18),"0.0000") &amp; "±" &amp; TEXT(_xlfn.STDEV.S(F14:F18),"0.0000")</f>
        <v>0.7941±0.0332</v>
      </c>
      <c r="G19" t="str">
        <f t="shared" si="2"/>
        <v>0.7944±0.0330</v>
      </c>
      <c r="H19" t="str">
        <f t="shared" si="2"/>
        <v>0.6481±0.0157</v>
      </c>
      <c r="I19" t="str">
        <f t="shared" si="2"/>
        <v>0.8801±0.0244</v>
      </c>
      <c r="J19" t="str">
        <f t="shared" si="2"/>
        <v>0.6712±0.0232</v>
      </c>
      <c r="K19" t="str">
        <f t="shared" si="2"/>
        <v>0.7464±0.0182</v>
      </c>
    </row>
    <row r="20" spans="1:11">
      <c r="A20" s="3" t="s">
        <v>19</v>
      </c>
      <c r="B20" s="1" t="s">
        <v>15</v>
      </c>
      <c r="C20" s="1">
        <v>42</v>
      </c>
      <c r="D20" s="4">
        <v>16</v>
      </c>
      <c r="E20" s="4">
        <v>0.96619999999999995</v>
      </c>
      <c r="F20" s="4">
        <v>0.96619999999999995</v>
      </c>
      <c r="G20" s="4">
        <v>0.96630000000000005</v>
      </c>
      <c r="H20" s="4">
        <v>0.93059999999999998</v>
      </c>
      <c r="I20" s="4">
        <v>0.87770000000000004</v>
      </c>
      <c r="J20" s="4">
        <v>0.9073</v>
      </c>
      <c r="K20" s="4">
        <v>0.90339999999999998</v>
      </c>
    </row>
    <row r="21" spans="1:11">
      <c r="A21" s="3" t="s">
        <v>19</v>
      </c>
      <c r="B21" s="1" t="s">
        <v>15</v>
      </c>
      <c r="C21" s="1">
        <v>1234</v>
      </c>
      <c r="D21" s="4">
        <v>23</v>
      </c>
      <c r="E21" s="4">
        <v>0.95079999999999998</v>
      </c>
      <c r="F21" s="4">
        <v>0.94440000000000002</v>
      </c>
      <c r="G21" s="4">
        <v>0.94450000000000001</v>
      </c>
      <c r="H21" s="4">
        <v>0.86360000000000003</v>
      </c>
      <c r="I21" s="4">
        <v>0.91269999999999996</v>
      </c>
      <c r="J21" s="4">
        <v>0.88580000000000003</v>
      </c>
      <c r="K21" s="4">
        <v>0.88749999999999996</v>
      </c>
    </row>
    <row r="22" spans="1:11">
      <c r="A22" s="3" t="s">
        <v>19</v>
      </c>
      <c r="B22" s="1" t="s">
        <v>15</v>
      </c>
      <c r="C22" s="1">
        <v>2025</v>
      </c>
      <c r="D22" s="4">
        <v>20</v>
      </c>
      <c r="E22" s="4">
        <v>0.95779999999999998</v>
      </c>
      <c r="F22" s="4">
        <v>0.95620000000000005</v>
      </c>
      <c r="G22" s="4">
        <v>0.95630000000000004</v>
      </c>
      <c r="H22" s="4">
        <v>0.8851</v>
      </c>
      <c r="I22" s="4">
        <v>0.9083</v>
      </c>
      <c r="J22" s="4">
        <v>0.89659999999999995</v>
      </c>
      <c r="K22" s="4">
        <v>0.89649999999999996</v>
      </c>
    </row>
    <row r="23" spans="1:11">
      <c r="A23" s="3" t="s">
        <v>19</v>
      </c>
      <c r="B23" s="1" t="s">
        <v>15</v>
      </c>
      <c r="C23" s="1">
        <v>12345</v>
      </c>
      <c r="D23" s="4">
        <v>12</v>
      </c>
      <c r="E23" s="4">
        <v>0.9425</v>
      </c>
      <c r="F23" s="4">
        <v>0.94120000000000004</v>
      </c>
      <c r="G23" s="4">
        <v>0.94130000000000003</v>
      </c>
      <c r="H23" s="4">
        <v>0.82589999999999997</v>
      </c>
      <c r="I23" s="4">
        <v>0.89080000000000004</v>
      </c>
      <c r="J23" s="4">
        <v>0.85340000000000005</v>
      </c>
      <c r="K23" s="4">
        <v>0.85709999999999997</v>
      </c>
    </row>
    <row r="24" spans="1:11">
      <c r="A24" s="3" t="s">
        <v>19</v>
      </c>
      <c r="B24" s="1" t="s">
        <v>15</v>
      </c>
      <c r="C24" s="1">
        <v>666</v>
      </c>
      <c r="D24" s="4">
        <v>13</v>
      </c>
      <c r="E24" s="4">
        <v>0.95069999999999999</v>
      </c>
      <c r="F24" s="4">
        <v>0.95050000000000001</v>
      </c>
      <c r="G24" s="4">
        <v>0.9506</v>
      </c>
      <c r="H24" s="4">
        <v>0.82469999999999999</v>
      </c>
      <c r="I24" s="4">
        <v>0.90390000000000004</v>
      </c>
      <c r="J24" s="4">
        <v>0.85780000000000001</v>
      </c>
      <c r="K24" s="4">
        <v>0.86250000000000004</v>
      </c>
    </row>
    <row r="25" spans="1:11">
      <c r="A25" s="1"/>
      <c r="B25" s="1"/>
      <c r="C25" s="1"/>
      <c r="D25" s="1"/>
      <c r="E25" t="str">
        <f xml:space="preserve"> TEXT(AVERAGE(E20:E24),"0.0000") &amp; "±" &amp; TEXT(_xlfn.STDEV.S(E20:E24),"0.0000")</f>
        <v>0.9536±0.0089</v>
      </c>
      <c r="F25" t="str">
        <f t="shared" ref="F25:K25" si="3" xml:space="preserve"> TEXT(AVERAGE(F20:F24),"0.0000") &amp; "±" &amp; TEXT(_xlfn.STDEV.S(F20:F24),"0.0000")</f>
        <v>0.9517±0.0099</v>
      </c>
      <c r="G25" t="str">
        <f t="shared" si="3"/>
        <v>0.9518±0.0099</v>
      </c>
      <c r="H25" t="str">
        <f t="shared" si="3"/>
        <v>0.8660±0.0443</v>
      </c>
      <c r="I25" t="str">
        <f t="shared" si="3"/>
        <v>0.8987±0.0143</v>
      </c>
      <c r="J25" t="str">
        <f t="shared" si="3"/>
        <v>0.8802±0.0237</v>
      </c>
      <c r="K25" t="str">
        <f t="shared" si="3"/>
        <v>0.8814±0.0206</v>
      </c>
    </row>
    <row r="26" spans="1:11">
      <c r="A26" s="3" t="s">
        <v>19</v>
      </c>
      <c r="B26" s="1" t="s">
        <v>16</v>
      </c>
      <c r="C26" s="1">
        <v>42</v>
      </c>
      <c r="D26" s="4">
        <v>24</v>
      </c>
      <c r="E26" s="4">
        <v>0.80389999999999995</v>
      </c>
      <c r="F26" s="4">
        <v>0.84179999999999999</v>
      </c>
      <c r="G26" s="4">
        <v>0.84370000000000001</v>
      </c>
      <c r="H26" s="4">
        <v>0.79590000000000005</v>
      </c>
      <c r="I26" s="4">
        <v>0.8125</v>
      </c>
      <c r="J26" s="4">
        <v>0.76249999999999996</v>
      </c>
      <c r="K26" s="4">
        <v>0.80410000000000004</v>
      </c>
    </row>
    <row r="27" spans="1:11">
      <c r="A27" s="3" t="s">
        <v>19</v>
      </c>
      <c r="B27" s="1" t="s">
        <v>16</v>
      </c>
      <c r="C27" s="1">
        <v>1234</v>
      </c>
      <c r="D27" s="4">
        <v>4</v>
      </c>
      <c r="E27" s="4">
        <v>0.82389999999999997</v>
      </c>
      <c r="F27" s="4">
        <v>0.84260000000000002</v>
      </c>
      <c r="G27" s="4">
        <v>0.84450000000000003</v>
      </c>
      <c r="H27" s="4">
        <v>0.79810000000000003</v>
      </c>
      <c r="I27" s="4">
        <v>0.86460000000000004</v>
      </c>
      <c r="J27" s="4">
        <v>0.78749999999999998</v>
      </c>
      <c r="K27" s="4">
        <v>0.83</v>
      </c>
    </row>
    <row r="28" spans="1:11">
      <c r="A28" s="3" t="s">
        <v>19</v>
      </c>
      <c r="B28" s="1" t="s">
        <v>16</v>
      </c>
      <c r="C28" s="1">
        <v>2025</v>
      </c>
      <c r="D28" s="4">
        <v>5</v>
      </c>
      <c r="E28" s="4">
        <v>0.85009999999999997</v>
      </c>
      <c r="F28" s="4">
        <v>0.8831</v>
      </c>
      <c r="G28" s="4">
        <v>0.8841</v>
      </c>
      <c r="H28" s="4">
        <v>0.81730000000000003</v>
      </c>
      <c r="I28" s="4">
        <v>0.88539999999999996</v>
      </c>
      <c r="J28" s="4">
        <v>0.8125</v>
      </c>
      <c r="K28" s="4">
        <v>0.85</v>
      </c>
    </row>
    <row r="29" spans="1:11">
      <c r="A29" s="3" t="s">
        <v>19</v>
      </c>
      <c r="B29" s="1" t="s">
        <v>16</v>
      </c>
      <c r="C29" s="1">
        <v>12345</v>
      </c>
      <c r="D29" s="4">
        <v>5</v>
      </c>
      <c r="E29" s="4">
        <v>0.83140000000000003</v>
      </c>
      <c r="F29" s="4">
        <v>0.89649999999999996</v>
      </c>
      <c r="G29" s="4">
        <v>0.89700000000000002</v>
      </c>
      <c r="H29" s="4">
        <v>0.75</v>
      </c>
      <c r="I29" s="4">
        <v>0.84379999999999999</v>
      </c>
      <c r="J29" s="4">
        <v>0.73750000000000004</v>
      </c>
      <c r="K29" s="4">
        <v>0.79410000000000003</v>
      </c>
    </row>
    <row r="30" spans="1:11">
      <c r="A30" s="3" t="s">
        <v>19</v>
      </c>
      <c r="B30" s="1" t="s">
        <v>16</v>
      </c>
      <c r="C30" s="1">
        <v>666</v>
      </c>
      <c r="D30" s="4">
        <v>5</v>
      </c>
      <c r="E30" s="4">
        <v>0.78339999999999999</v>
      </c>
      <c r="F30" s="4">
        <v>0.85409999999999997</v>
      </c>
      <c r="G30" s="4">
        <v>0.85519999999999996</v>
      </c>
      <c r="H30" s="4">
        <v>0.78490000000000004</v>
      </c>
      <c r="I30" s="4">
        <v>0.76039999999999996</v>
      </c>
      <c r="J30" s="4">
        <v>0.73119999999999996</v>
      </c>
      <c r="K30" s="4">
        <v>0.77249999999999996</v>
      </c>
    </row>
    <row r="31" spans="1:11">
      <c r="E31" t="str">
        <f xml:space="preserve"> TEXT(AVERAGE(E26:E30),"0.0000") &amp; "±" &amp; TEXT(_xlfn.STDEV.S(E26:E30),"0.0000")</f>
        <v>0.8185±0.0257</v>
      </c>
      <c r="F31" t="str">
        <f t="shared" ref="F31:K31" si="4" xml:space="preserve"> TEXT(AVERAGE(F26:F30),"0.0000") &amp; "±" &amp; TEXT(_xlfn.STDEV.S(F26:F30),"0.0000")</f>
        <v>0.8636±0.0248</v>
      </c>
      <c r="G31" t="str">
        <f t="shared" si="4"/>
        <v>0.8649±0.0243</v>
      </c>
      <c r="H31" t="str">
        <f t="shared" si="4"/>
        <v>0.7892±0.0248</v>
      </c>
      <c r="I31" t="str">
        <f t="shared" si="4"/>
        <v>0.8333±0.0489</v>
      </c>
      <c r="J31" t="str">
        <f t="shared" si="4"/>
        <v>0.7662±0.0341</v>
      </c>
      <c r="K31" t="str">
        <f t="shared" si="4"/>
        <v>0.8101±0.0304</v>
      </c>
    </row>
  </sheetData>
  <phoneticPr fontId="25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celegans</vt:lpstr>
      <vt:lpstr>human</vt:lpstr>
      <vt:lpstr>Article</vt:lpstr>
      <vt:lpstr>Patent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niu</dc:creator>
  <cp:lastModifiedBy>牛　文涛</cp:lastModifiedBy>
  <dcterms:created xsi:type="dcterms:W3CDTF">2015-06-05T18:19:34Z</dcterms:created>
  <dcterms:modified xsi:type="dcterms:W3CDTF">2026-06-28T10:57:36Z</dcterms:modified>
</cp:coreProperties>
</file>