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urvey-outer\第二篇开头\论文2\数据整理\OT_QCM2Net\"/>
    </mc:Choice>
  </mc:AlternateContent>
  <xr:revisionPtr revIDLastSave="0" documentId="13_ncr:1_{E6990170-752E-4299-B073-A652A92489B1}" xr6:coauthVersionLast="47" xr6:coauthVersionMax="47" xr10:uidLastSave="{00000000-0000-0000-0000-000000000000}"/>
  <bookViews>
    <workbookView xWindow="4290" yWindow="1335" windowWidth="16350" windowHeight="12420" xr2:uid="{00000000-000D-0000-FFFF-FFFF00000000}"/>
  </bookViews>
  <sheets>
    <sheet name="celegans" sheetId="1" r:id="rId1"/>
    <sheet name="human" sheetId="2" r:id="rId2"/>
    <sheet name="Article" sheetId="3" r:id="rId3"/>
    <sheet name="Pat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4" l="1"/>
  <c r="F25" i="4"/>
  <c r="G25" i="4"/>
  <c r="H25" i="4"/>
  <c r="I25" i="4"/>
  <c r="J25" i="4"/>
  <c r="K25" i="4"/>
  <c r="K31" i="4"/>
  <c r="J31" i="4"/>
  <c r="I31" i="4"/>
  <c r="H31" i="4"/>
  <c r="G31" i="4"/>
  <c r="F31" i="4"/>
  <c r="E31" i="4"/>
  <c r="K19" i="4"/>
  <c r="J19" i="4"/>
  <c r="I19" i="4"/>
  <c r="H19" i="4"/>
  <c r="G19" i="4"/>
  <c r="F19" i="4"/>
  <c r="E19" i="4"/>
  <c r="K13" i="4"/>
  <c r="J13" i="4"/>
  <c r="I13" i="4"/>
  <c r="H13" i="4"/>
  <c r="G13" i="4"/>
  <c r="F13" i="4"/>
  <c r="E13" i="4"/>
  <c r="K7" i="4"/>
  <c r="J7" i="4"/>
  <c r="I7" i="4"/>
  <c r="H7" i="4"/>
  <c r="G7" i="4"/>
  <c r="F7" i="4"/>
  <c r="E7" i="4"/>
  <c r="K31" i="3"/>
  <c r="J31" i="3"/>
  <c r="I31" i="3"/>
  <c r="H31" i="3"/>
  <c r="G31" i="3"/>
  <c r="F31" i="3"/>
  <c r="E31" i="3"/>
  <c r="K25" i="3"/>
  <c r="J25" i="3"/>
  <c r="I25" i="3"/>
  <c r="H25" i="3"/>
  <c r="G25" i="3"/>
  <c r="F25" i="3"/>
  <c r="E25" i="3"/>
  <c r="K19" i="3"/>
  <c r="J19" i="3"/>
  <c r="I19" i="3"/>
  <c r="H19" i="3"/>
  <c r="G19" i="3"/>
  <c r="F19" i="3"/>
  <c r="E19" i="3"/>
  <c r="K13" i="3"/>
  <c r="J13" i="3"/>
  <c r="I13" i="3"/>
  <c r="H13" i="3"/>
  <c r="G13" i="3"/>
  <c r="F13" i="3"/>
  <c r="E13" i="3"/>
  <c r="K7" i="3"/>
  <c r="J7" i="3"/>
  <c r="I7" i="3"/>
  <c r="H7" i="3"/>
  <c r="G7" i="3"/>
  <c r="F7" i="3"/>
  <c r="E7" i="3"/>
  <c r="K31" i="2"/>
  <c r="J31" i="2"/>
  <c r="I31" i="2"/>
  <c r="H31" i="2"/>
  <c r="G31" i="2"/>
  <c r="F31" i="2"/>
  <c r="E31" i="2"/>
  <c r="K25" i="2"/>
  <c r="J25" i="2"/>
  <c r="I25" i="2"/>
  <c r="H25" i="2"/>
  <c r="G25" i="2"/>
  <c r="F25" i="2"/>
  <c r="E25" i="2"/>
  <c r="K19" i="2"/>
  <c r="J19" i="2"/>
  <c r="I19" i="2"/>
  <c r="H19" i="2"/>
  <c r="G19" i="2"/>
  <c r="F19" i="2"/>
  <c r="E19" i="2"/>
  <c r="K13" i="2"/>
  <c r="J13" i="2"/>
  <c r="I13" i="2"/>
  <c r="H13" i="2"/>
  <c r="G13" i="2"/>
  <c r="F13" i="2"/>
  <c r="E13" i="2"/>
  <c r="K7" i="2"/>
  <c r="J7" i="2"/>
  <c r="I7" i="2"/>
  <c r="H7" i="2"/>
  <c r="G7" i="2"/>
  <c r="F7" i="2"/>
  <c r="E7" i="2"/>
  <c r="F31" i="1"/>
  <c r="G31" i="1"/>
  <c r="H31" i="1"/>
  <c r="I31" i="1"/>
  <c r="J31" i="1"/>
  <c r="K31" i="1"/>
  <c r="E31" i="1"/>
  <c r="F25" i="1"/>
  <c r="G25" i="1"/>
  <c r="H25" i="1"/>
  <c r="I25" i="1"/>
  <c r="J25" i="1"/>
  <c r="K25" i="1"/>
  <c r="E25" i="1"/>
  <c r="F19" i="1"/>
  <c r="G19" i="1"/>
  <c r="H19" i="1"/>
  <c r="I19" i="1"/>
  <c r="J19" i="1"/>
  <c r="K19" i="1"/>
  <c r="E19" i="1"/>
  <c r="F13" i="1"/>
  <c r="G13" i="1"/>
  <c r="H13" i="1"/>
  <c r="I13" i="1"/>
  <c r="J13" i="1"/>
  <c r="K13" i="1"/>
  <c r="E13" i="1"/>
  <c r="F7" i="1"/>
  <c r="G7" i="1"/>
  <c r="H7" i="1"/>
  <c r="I7" i="1"/>
  <c r="J7" i="1"/>
  <c r="K7" i="1"/>
  <c r="E7" i="1"/>
</calcChain>
</file>

<file path=xl/sharedStrings.xml><?xml version="1.0" encoding="utf-8"?>
<sst xmlns="http://schemas.openxmlformats.org/spreadsheetml/2006/main" count="244" uniqueCount="20">
  <si>
    <t>Dataset</t>
  </si>
  <si>
    <t>Split</t>
  </si>
  <si>
    <t>Seed</t>
  </si>
  <si>
    <t>BestEpoch</t>
  </si>
  <si>
    <t>AUC_Test</t>
  </si>
  <si>
    <t>PRAUC_Test</t>
  </si>
  <si>
    <t>AUPRC_Test</t>
  </si>
  <si>
    <t>Precision_Test</t>
  </si>
  <si>
    <t>Recall_Test</t>
  </si>
  <si>
    <t>Accuracy_Test</t>
  </si>
  <si>
    <t>F1_Test</t>
  </si>
  <si>
    <t>celegans</t>
  </si>
  <si>
    <t>random</t>
  </si>
  <si>
    <t>cold_smiles</t>
  </si>
  <si>
    <t>cold_protein</t>
  </si>
  <si>
    <t>cold_both</t>
  </si>
  <si>
    <t>cluster</t>
  </si>
  <si>
    <t>human</t>
    <phoneticPr fontId="25" type="noConversion"/>
  </si>
  <si>
    <t>Article</t>
    <phoneticPr fontId="25" type="noConversion"/>
  </si>
  <si>
    <t>Patent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</si>
</sst>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8"/>
      <color theme="3"/>
      <name val="Yu Gothic Light"/>
      <family val="2"/>
      <charset val="134"/>
      <scheme val="major"/>
    </font>
    <font>
      <b/>
      <sz val="15"/>
      <color theme="3"/>
      <name val="Yu Gothic"/>
      <family val="2"/>
      <charset val="134"/>
      <scheme val="minor"/>
    </font>
    <font>
      <b/>
      <sz val="13"/>
      <color theme="3"/>
      <name val="Yu Gothic"/>
      <family val="2"/>
      <charset val="134"/>
      <scheme val="minor"/>
    </font>
    <font>
      <b/>
      <sz val="11"/>
      <color theme="3"/>
      <name val="Yu Gothic"/>
      <family val="2"/>
      <charset val="134"/>
      <scheme val="minor"/>
    </font>
    <font>
      <sz val="11"/>
      <color rgb="FF006100"/>
      <name val="Yu Gothic"/>
      <family val="2"/>
      <charset val="134"/>
      <scheme val="minor"/>
    </font>
    <font>
      <sz val="11"/>
      <color rgb="FF9C0006"/>
      <name val="Yu Gothic"/>
      <family val="2"/>
      <charset val="134"/>
      <scheme val="minor"/>
    </font>
    <font>
      <sz val="11"/>
      <color rgb="FF9C5700"/>
      <name val="Yu Gothic"/>
      <family val="2"/>
      <charset val="134"/>
      <scheme val="minor"/>
    </font>
    <font>
      <sz val="11"/>
      <color rgb="FF3F3F76"/>
      <name val="Yu Gothic"/>
      <family val="2"/>
      <charset val="134"/>
      <scheme val="minor"/>
    </font>
    <font>
      <b/>
      <sz val="11"/>
      <color rgb="FF3F3F3F"/>
      <name val="Yu Gothic"/>
      <family val="2"/>
      <charset val="134"/>
      <scheme val="minor"/>
    </font>
    <font>
      <b/>
      <sz val="11"/>
      <color rgb="FFFA7D00"/>
      <name val="Yu Gothic"/>
      <family val="2"/>
      <charset val="134"/>
      <scheme val="minor"/>
    </font>
    <font>
      <sz val="11"/>
      <color rgb="FFFA7D00"/>
      <name val="Yu Gothic"/>
      <family val="2"/>
      <charset val="134"/>
      <scheme val="minor"/>
    </font>
    <font>
      <b/>
      <sz val="11"/>
      <color theme="0"/>
      <name val="Yu Gothic"/>
      <family val="2"/>
      <charset val="134"/>
      <scheme val="minor"/>
    </font>
    <font>
      <sz val="11"/>
      <color rgb="FFFF0000"/>
      <name val="Yu Gothic"/>
      <family val="2"/>
      <charset val="134"/>
      <scheme val="minor"/>
    </font>
    <font>
      <i/>
      <sz val="11"/>
      <color rgb="FF7F7F7F"/>
      <name val="Yu Gothic"/>
      <family val="2"/>
      <charset val="134"/>
      <scheme val="minor"/>
    </font>
    <font>
      <b/>
      <sz val="11"/>
      <color theme="1"/>
      <name val="Yu Gothic"/>
      <family val="2"/>
      <charset val="134"/>
      <scheme val="minor"/>
    </font>
    <font>
      <sz val="11"/>
      <color theme="0"/>
      <name val="Yu Gothic"/>
      <family val="2"/>
      <charset val="134"/>
      <scheme val="minor"/>
    </font>
    <font>
      <sz val="9"/>
      <name val="Yu Gothic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3">
    <xf numFmtId="0" fontId="0" fillId="0" borderId="0"/>
    <xf numFmtId="0" fontId="9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8" fillId="0" borderId="0" xfId="41">
      <alignment vertical="center"/>
    </xf>
    <xf numFmtId="0" fontId="7" fillId="0" borderId="0" xfId="41" applyFont="1">
      <alignment vertical="center"/>
    </xf>
    <xf numFmtId="0" fontId="6" fillId="0" borderId="0" xfId="41" applyFont="1">
      <alignment vertical="center"/>
    </xf>
    <xf numFmtId="0" fontId="0" fillId="0" borderId="0" xfId="0" applyAlignment="1">
      <alignment vertical="center"/>
    </xf>
  </cellXfs>
  <cellStyles count="143">
    <cellStyle name="20% - 着色 1" xfId="18" builtinId="30" customBuiltin="1"/>
    <cellStyle name="20% - 着色 1 2" xfId="45" xr:uid="{631A7372-A942-4A52-BDED-97E4C6DB0408}"/>
    <cellStyle name="20% - 着色 1 3" xfId="65" xr:uid="{56AABC51-9393-4998-8DFD-9D883448C235}"/>
    <cellStyle name="20% - 着色 1 4" xfId="85" xr:uid="{CB84EA57-D6BF-4014-B0AA-2D5B9D16C222}"/>
    <cellStyle name="20% - 着色 1 5" xfId="105" xr:uid="{AFC892CB-3A61-490E-8D13-A6BB90DBA78E}"/>
    <cellStyle name="20% - 着色 1 6" xfId="125" xr:uid="{A1461F31-E7AF-4311-854B-0DD0C40E3C6C}"/>
    <cellStyle name="20% - 着色 2" xfId="22" builtinId="34" customBuiltin="1"/>
    <cellStyle name="20% - 着色 2 2" xfId="48" xr:uid="{6A4DC293-89CD-4019-862F-19221404CC3D}"/>
    <cellStyle name="20% - 着色 2 3" xfId="68" xr:uid="{70E8CAA7-A404-468C-922C-D38F8164043E}"/>
    <cellStyle name="20% - 着色 2 4" xfId="88" xr:uid="{5507E9B2-3FC8-4BCE-B08F-8A9EB643F584}"/>
    <cellStyle name="20% - 着色 2 5" xfId="108" xr:uid="{4B18CD4F-E694-4C1F-8ADC-3CF2C3893337}"/>
    <cellStyle name="20% - 着色 2 6" xfId="128" xr:uid="{335F97AA-B55F-4F0E-9D7E-B763D130EB12}"/>
    <cellStyle name="20% - 着色 3" xfId="26" builtinId="38" customBuiltin="1"/>
    <cellStyle name="20% - 着色 3 2" xfId="51" xr:uid="{A8933B8F-B7BD-4069-A793-A567F4C456F4}"/>
    <cellStyle name="20% - 着色 3 3" xfId="71" xr:uid="{7510CD13-78D8-4417-89E6-5FB19CE81182}"/>
    <cellStyle name="20% - 着色 3 4" xfId="91" xr:uid="{8685F12C-954F-40D7-8C88-8C4EB3110018}"/>
    <cellStyle name="20% - 着色 3 5" xfId="111" xr:uid="{234E29D2-E6E6-461B-8A8B-9A1A9E60B46D}"/>
    <cellStyle name="20% - 着色 3 6" xfId="131" xr:uid="{FEED36D1-4D3D-4DDB-88D1-1B56DD58CE7F}"/>
    <cellStyle name="20% - 着色 4" xfId="30" builtinId="42" customBuiltin="1"/>
    <cellStyle name="20% - 着色 4 2" xfId="54" xr:uid="{659BC925-A1C0-4C2B-8B95-A0D3951A1948}"/>
    <cellStyle name="20% - 着色 4 3" xfId="74" xr:uid="{5600C31C-03BB-4868-9FAF-AA20E501B9B3}"/>
    <cellStyle name="20% - 着色 4 4" xfId="94" xr:uid="{DB8BBC72-CC6B-4A78-98E5-D47A76900BF2}"/>
    <cellStyle name="20% - 着色 4 5" xfId="114" xr:uid="{61CB142A-206E-47AF-B207-D1F5A1B5B412}"/>
    <cellStyle name="20% - 着色 4 6" xfId="134" xr:uid="{58B17B6B-B61B-48B6-A220-49B07BF124A4}"/>
    <cellStyle name="20% - 着色 5" xfId="34" builtinId="46" customBuiltin="1"/>
    <cellStyle name="20% - 着色 5 2" xfId="57" xr:uid="{90EF5071-6EFE-4782-AF86-9ECB5F4238E4}"/>
    <cellStyle name="20% - 着色 5 3" xfId="77" xr:uid="{F1181EA4-7FD0-4E3B-B002-485D1C01DFE0}"/>
    <cellStyle name="20% - 着色 5 4" xfId="97" xr:uid="{0DEAD9ED-B107-4340-A9D4-ACD2C477DEB6}"/>
    <cellStyle name="20% - 着色 5 5" xfId="117" xr:uid="{F528A756-AE66-486B-84F7-9E9B3EC7011B}"/>
    <cellStyle name="20% - 着色 5 6" xfId="137" xr:uid="{5FEAB2C2-E2E0-4EF0-9B81-2C46599DB0C1}"/>
    <cellStyle name="20% - 着色 6" xfId="38" builtinId="50" customBuiltin="1"/>
    <cellStyle name="20% - 着色 6 2" xfId="60" xr:uid="{262DC657-0A65-4157-BDEE-39B1F2F234D4}"/>
    <cellStyle name="20% - 着色 6 3" xfId="80" xr:uid="{D6525EAD-5066-45D6-86ED-0E0E21172AD5}"/>
    <cellStyle name="20% - 着色 6 4" xfId="100" xr:uid="{5AD7AEBE-92F6-44A6-9CF7-228F669645F3}"/>
    <cellStyle name="20% - 着色 6 5" xfId="120" xr:uid="{A9211D6D-63B9-40D5-94D4-76360DB55852}"/>
    <cellStyle name="20% - 着色 6 6" xfId="140" xr:uid="{FC9C5CFF-0AE1-4FC3-91CD-CE36139D9F65}"/>
    <cellStyle name="40% - 着色 1" xfId="19" builtinId="31" customBuiltin="1"/>
    <cellStyle name="40% - 着色 1 2" xfId="46" xr:uid="{CD65E19E-1BA1-47B1-AEA1-0968D6FD55CE}"/>
    <cellStyle name="40% - 着色 1 3" xfId="66" xr:uid="{6685EC54-982F-4AEB-A492-3A7D491EA975}"/>
    <cellStyle name="40% - 着色 1 4" xfId="86" xr:uid="{37A31E1A-9039-45EC-8B3E-32FD1205FC36}"/>
    <cellStyle name="40% - 着色 1 5" xfId="106" xr:uid="{5BBD7BF1-EA65-4507-B1B5-D2333231BB78}"/>
    <cellStyle name="40% - 着色 1 6" xfId="126" xr:uid="{E558EF9C-8291-4CA2-B880-9D8327D3946D}"/>
    <cellStyle name="40% - 着色 2" xfId="23" builtinId="35" customBuiltin="1"/>
    <cellStyle name="40% - 着色 2 2" xfId="49" xr:uid="{DAEB1DCD-E3F1-413F-882A-385BD42877D7}"/>
    <cellStyle name="40% - 着色 2 3" xfId="69" xr:uid="{8DD48D7A-65FC-4441-819D-E1B9BD89A9CD}"/>
    <cellStyle name="40% - 着色 2 4" xfId="89" xr:uid="{CDC87EEC-9FF2-422F-919A-DBA44F498FA4}"/>
    <cellStyle name="40% - 着色 2 5" xfId="109" xr:uid="{DACE0C3F-3BAC-4BDE-907D-7E4B347F5EF5}"/>
    <cellStyle name="40% - 着色 2 6" xfId="129" xr:uid="{50E17335-1784-4570-8BFB-CBC8EEA3DC3F}"/>
    <cellStyle name="40% - 着色 3" xfId="27" builtinId="39" customBuiltin="1"/>
    <cellStyle name="40% - 着色 3 2" xfId="52" xr:uid="{6DBD6CD2-C8D6-4F6E-855F-3A8F35E5B744}"/>
    <cellStyle name="40% - 着色 3 3" xfId="72" xr:uid="{78322575-F9A7-4657-BCBD-42369312B633}"/>
    <cellStyle name="40% - 着色 3 4" xfId="92" xr:uid="{4633610D-0F8E-4489-AB35-6BB16DBC38AD}"/>
    <cellStyle name="40% - 着色 3 5" xfId="112" xr:uid="{AD48368B-303B-4BA3-812F-CCBE4C4EEF8A}"/>
    <cellStyle name="40% - 着色 3 6" xfId="132" xr:uid="{A69DCCDE-5476-474E-90FF-F204CBBAEEDE}"/>
    <cellStyle name="40% - 着色 4" xfId="31" builtinId="43" customBuiltin="1"/>
    <cellStyle name="40% - 着色 4 2" xfId="55" xr:uid="{C11AB2BB-0922-41A0-B363-E596D28A20FD}"/>
    <cellStyle name="40% - 着色 4 3" xfId="75" xr:uid="{483EFE0A-C4B5-42FD-B50C-489E54A922D8}"/>
    <cellStyle name="40% - 着色 4 4" xfId="95" xr:uid="{3A3F0992-7EEA-4CD7-A062-A16FEA25C800}"/>
    <cellStyle name="40% - 着色 4 5" xfId="115" xr:uid="{5D2BBE6F-C54D-4F23-8007-A34638470011}"/>
    <cellStyle name="40% - 着色 4 6" xfId="135" xr:uid="{64528971-77B7-4223-B2C5-7A12B213D9C4}"/>
    <cellStyle name="40% - 着色 5" xfId="35" builtinId="47" customBuiltin="1"/>
    <cellStyle name="40% - 着色 5 2" xfId="58" xr:uid="{06864929-D609-4E5A-AC23-B991FB665BF2}"/>
    <cellStyle name="40% - 着色 5 3" xfId="78" xr:uid="{5F50EBDB-8A96-4F28-A7DC-B8F2D7E69841}"/>
    <cellStyle name="40% - 着色 5 4" xfId="98" xr:uid="{F2824923-6C4C-468B-A424-2CE085758F01}"/>
    <cellStyle name="40% - 着色 5 5" xfId="118" xr:uid="{202AD565-C482-404C-B397-B2EE73C75249}"/>
    <cellStyle name="40% - 着色 5 6" xfId="138" xr:uid="{1AD2B8D8-9F3A-4E39-9680-80C9CEC01AAB}"/>
    <cellStyle name="40% - 着色 6" xfId="39" builtinId="51" customBuiltin="1"/>
    <cellStyle name="40% - 着色 6 2" xfId="61" xr:uid="{38E09F43-2066-4B3B-8841-81B671097222}"/>
    <cellStyle name="40% - 着色 6 3" xfId="81" xr:uid="{4782943A-BD1D-4019-8B7B-87DD175B4031}"/>
    <cellStyle name="40% - 着色 6 4" xfId="101" xr:uid="{1BC64C9B-4BBC-4152-A238-24C96F560E8A}"/>
    <cellStyle name="40% - 着色 6 5" xfId="121" xr:uid="{AAC8FEB6-3145-43F8-A3A7-C68F89F1B60B}"/>
    <cellStyle name="40% - 着色 6 6" xfId="141" xr:uid="{969C935A-3AED-4BD0-868A-E703064B30D6}"/>
    <cellStyle name="60% - 着色 1" xfId="20" builtinId="32" customBuiltin="1"/>
    <cellStyle name="60% - 着色 1 2" xfId="47" xr:uid="{A554982A-5FD7-45B5-ABE1-4083A572DD7B}"/>
    <cellStyle name="60% - 着色 1 3" xfId="67" xr:uid="{FB2E2471-407A-4391-95D1-F5467775887E}"/>
    <cellStyle name="60% - 着色 1 4" xfId="87" xr:uid="{93C81AC1-ED28-47D7-A1BC-FF313BE44DED}"/>
    <cellStyle name="60% - 着色 1 5" xfId="107" xr:uid="{237413DC-50C4-49A3-83AD-64A748594CE8}"/>
    <cellStyle name="60% - 着色 1 6" xfId="127" xr:uid="{F5D3B3B4-41A2-436E-A169-D0C2DAEAE6DC}"/>
    <cellStyle name="60% - 着色 2" xfId="24" builtinId="36" customBuiltin="1"/>
    <cellStyle name="60% - 着色 2 2" xfId="50" xr:uid="{19BE0BEF-D624-4EE9-9257-834C0678019E}"/>
    <cellStyle name="60% - 着色 2 3" xfId="70" xr:uid="{BB437F35-03BF-4861-BD2B-B359A7A6067D}"/>
    <cellStyle name="60% - 着色 2 4" xfId="90" xr:uid="{86E6D2A1-475D-4170-AD40-25F26D16DF3E}"/>
    <cellStyle name="60% - 着色 2 5" xfId="110" xr:uid="{19BBC151-1C51-46FE-864B-3A78D3F93614}"/>
    <cellStyle name="60% - 着色 2 6" xfId="130" xr:uid="{EC369AD1-92E5-438B-8515-9CF2F5F9E6D9}"/>
    <cellStyle name="60% - 着色 3" xfId="28" builtinId="40" customBuiltin="1"/>
    <cellStyle name="60% - 着色 3 2" xfId="53" xr:uid="{A4D04FF9-8E5C-4D67-A59F-FBE0C5347AF7}"/>
    <cellStyle name="60% - 着色 3 3" xfId="73" xr:uid="{1428FAE4-E8C3-48D2-A11F-AC4235AB9290}"/>
    <cellStyle name="60% - 着色 3 4" xfId="93" xr:uid="{9BA5E2DD-686D-478D-941E-F6E0A64A88FA}"/>
    <cellStyle name="60% - 着色 3 5" xfId="113" xr:uid="{4088A86E-FD6E-49A2-9FF0-28782124006F}"/>
    <cellStyle name="60% - 着色 3 6" xfId="133" xr:uid="{06AF6C2B-E274-4C89-A367-357B36D3E905}"/>
    <cellStyle name="60% - 着色 4" xfId="32" builtinId="44" customBuiltin="1"/>
    <cellStyle name="60% - 着色 4 2" xfId="56" xr:uid="{C76605BB-D6D4-47C1-84A2-BD5EB42A8C3A}"/>
    <cellStyle name="60% - 着色 4 3" xfId="76" xr:uid="{B2E593C2-DA13-43E3-9A8D-66297A6BBE51}"/>
    <cellStyle name="60% - 着色 4 4" xfId="96" xr:uid="{801BA9F6-0E72-47FA-B219-430FAF59374D}"/>
    <cellStyle name="60% - 着色 4 5" xfId="116" xr:uid="{763DF44B-DFA1-4096-BB94-F6EEAEC3BD35}"/>
    <cellStyle name="60% - 着色 4 6" xfId="136" xr:uid="{961F640B-6A9F-4D87-9206-CAB58107BDAD}"/>
    <cellStyle name="60% - 着色 5" xfId="36" builtinId="48" customBuiltin="1"/>
    <cellStyle name="60% - 着色 5 2" xfId="59" xr:uid="{5F19B3F2-B248-4396-846D-637D4900097A}"/>
    <cellStyle name="60% - 着色 5 3" xfId="79" xr:uid="{1E386808-5C4A-4519-9E4E-DF2C58EF5A01}"/>
    <cellStyle name="60% - 着色 5 4" xfId="99" xr:uid="{444230EB-23EE-44C8-9705-868DBFC32204}"/>
    <cellStyle name="60% - 着色 5 5" xfId="119" xr:uid="{A3E03B2F-8C0E-4DE0-86D7-ABA7F9A5A29E}"/>
    <cellStyle name="60% - 着色 5 6" xfId="139" xr:uid="{8BB3DDF9-1740-4958-955C-56D9E46FC9AA}"/>
    <cellStyle name="60% - 着色 6" xfId="40" builtinId="52" customBuiltin="1"/>
    <cellStyle name="60% - 着色 6 2" xfId="62" xr:uid="{41359507-9234-473A-A2F2-205C3FCB5C20}"/>
    <cellStyle name="60% - 着色 6 3" xfId="82" xr:uid="{0DB6592A-7462-43CB-8996-0776D8351480}"/>
    <cellStyle name="60% - 着色 6 4" xfId="102" xr:uid="{60187D8F-F6F9-47D6-8278-A5ED76CC494C}"/>
    <cellStyle name="60% - 着色 6 5" xfId="122" xr:uid="{090319BF-6E96-4949-8402-5EE770C88507}"/>
    <cellStyle name="60% - 着色 6 6" xfId="142" xr:uid="{1C5DAFE4-3E6A-481B-8772-3A33300EA48A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9CF3D909-F7E9-47A7-BDB6-C6D0D623462C}"/>
    <cellStyle name="常规 3" xfId="43" xr:uid="{866F4CA7-96A3-4333-ACBD-729B68C796EC}"/>
    <cellStyle name="常规 4" xfId="63" xr:uid="{0B3FCBC7-2C4D-4396-8F4F-FBD42A224388}"/>
    <cellStyle name="常规 5" xfId="83" xr:uid="{41AAEAB9-F640-4E57-A46B-45A6552F286E}"/>
    <cellStyle name="常规 6" xfId="103" xr:uid="{64BFAC25-A285-4E4E-8F70-81AF628E281A}"/>
    <cellStyle name="常规 7" xfId="123" xr:uid="{A2196C91-3E5D-4AFE-8BD5-FA263357379B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8EAE4821-A933-46B2-BD81-B7B20FBFA1EB}"/>
    <cellStyle name="注释 3" xfId="44" xr:uid="{F9FCB5FD-24BD-4B3D-8B47-C3AF0C231D35}"/>
    <cellStyle name="注释 4" xfId="64" xr:uid="{D386D93C-D98E-4719-B26B-1DF3B9C79F7E}"/>
    <cellStyle name="注释 5" xfId="84" xr:uid="{7C3AD71C-EF84-4EC4-8DE7-A578B2FBF9C0}"/>
    <cellStyle name="注释 6" xfId="104" xr:uid="{730C0665-7725-489C-A345-F2B7E9C4418D}"/>
    <cellStyle name="注释 7" xfId="124" xr:uid="{4DA805FD-284D-48B0-B7C5-AC139773C1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L6" sqref="L6"/>
    </sheetView>
  </sheetViews>
  <sheetFormatPr defaultRowHeight="18.75" x14ac:dyDescent="0.4"/>
  <cols>
    <col min="2" max="2" width="14.375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1" t="s">
        <v>12</v>
      </c>
      <c r="C2" s="1">
        <v>42</v>
      </c>
      <c r="D2" s="4">
        <v>14</v>
      </c>
      <c r="E2" s="4">
        <v>0.99319999999999997</v>
      </c>
      <c r="F2" s="4">
        <v>0.99329999999999996</v>
      </c>
      <c r="G2" s="4">
        <v>0.99329999999999996</v>
      </c>
      <c r="H2" s="4">
        <v>0.94359999999999999</v>
      </c>
      <c r="I2" s="4">
        <v>0.98129999999999995</v>
      </c>
      <c r="J2" s="4">
        <v>0.96279999999999999</v>
      </c>
      <c r="K2" s="4">
        <v>0.96209999999999996</v>
      </c>
    </row>
    <row r="3" spans="1:11" x14ac:dyDescent="0.4">
      <c r="A3" s="1" t="s">
        <v>11</v>
      </c>
      <c r="B3" s="1" t="s">
        <v>12</v>
      </c>
      <c r="C3" s="1">
        <v>1234</v>
      </c>
      <c r="D3" s="4">
        <v>11</v>
      </c>
      <c r="E3" s="4">
        <v>0.99370000000000003</v>
      </c>
      <c r="F3" s="4">
        <v>0.99309999999999998</v>
      </c>
      <c r="G3" s="4">
        <v>0.99309999999999998</v>
      </c>
      <c r="H3" s="4">
        <v>0.95489999999999997</v>
      </c>
      <c r="I3" s="4">
        <v>0.96</v>
      </c>
      <c r="J3" s="4">
        <v>0.95889999999999997</v>
      </c>
      <c r="K3" s="4">
        <v>0.95740000000000003</v>
      </c>
    </row>
    <row r="4" spans="1:11" x14ac:dyDescent="0.4">
      <c r="A4" s="1" t="s">
        <v>11</v>
      </c>
      <c r="B4" s="1" t="s">
        <v>12</v>
      </c>
      <c r="C4" s="1">
        <v>2025</v>
      </c>
      <c r="D4" s="4">
        <v>25</v>
      </c>
      <c r="E4" s="4">
        <v>0.99450000000000005</v>
      </c>
      <c r="F4" s="4">
        <v>0.99409999999999998</v>
      </c>
      <c r="G4" s="4">
        <v>0.99409999999999998</v>
      </c>
      <c r="H4" s="4">
        <v>0.95809999999999995</v>
      </c>
      <c r="I4" s="4">
        <v>0.97599999999999998</v>
      </c>
      <c r="J4" s="4">
        <v>0.96789999999999998</v>
      </c>
      <c r="K4" s="4">
        <v>0.96699999999999997</v>
      </c>
    </row>
    <row r="5" spans="1:11" x14ac:dyDescent="0.4">
      <c r="A5" s="1" t="s">
        <v>11</v>
      </c>
      <c r="B5" s="1" t="s">
        <v>12</v>
      </c>
      <c r="C5" s="1">
        <v>12345</v>
      </c>
      <c r="D5" s="4">
        <v>29</v>
      </c>
      <c r="E5" s="4">
        <v>0.99480000000000002</v>
      </c>
      <c r="F5" s="4">
        <v>0.99439999999999995</v>
      </c>
      <c r="G5" s="4">
        <v>0.99439999999999995</v>
      </c>
      <c r="H5" s="4">
        <v>0.96809999999999996</v>
      </c>
      <c r="I5" s="4">
        <v>0.97070000000000001</v>
      </c>
      <c r="J5" s="4">
        <v>0.97050000000000003</v>
      </c>
      <c r="K5" s="4">
        <v>0.96940000000000004</v>
      </c>
    </row>
    <row r="6" spans="1:11" x14ac:dyDescent="0.4">
      <c r="A6" s="1" t="s">
        <v>11</v>
      </c>
      <c r="B6" s="1" t="s">
        <v>12</v>
      </c>
      <c r="C6" s="1">
        <v>666</v>
      </c>
      <c r="D6" s="4">
        <v>27</v>
      </c>
      <c r="E6" s="4">
        <v>0.99429999999999996</v>
      </c>
      <c r="F6" s="4">
        <v>0.99450000000000005</v>
      </c>
      <c r="G6" s="4">
        <v>0.99450000000000005</v>
      </c>
      <c r="H6" s="4">
        <v>0.96540000000000004</v>
      </c>
      <c r="I6" s="4">
        <v>0.96799999999999997</v>
      </c>
      <c r="J6" s="4">
        <v>0.96789999999999998</v>
      </c>
      <c r="K6" s="4">
        <v>0.9667</v>
      </c>
    </row>
    <row r="7" spans="1:11" x14ac:dyDescent="0.4">
      <c r="A7" s="1"/>
      <c r="B7" s="1"/>
      <c r="C7" s="1"/>
      <c r="D7" s="1"/>
      <c r="E7" t="str">
        <f xml:space="preserve"> TEXT(AVERAGE(E2:E6),"0.0000") &amp; "±" &amp; TEXT(_xlfn.STDEV.S(E2:E6),"0.0000")</f>
        <v>0.9941±0.0006</v>
      </c>
      <c r="F7" t="str">
        <f t="shared" ref="F7:K7" si="0" xml:space="preserve"> TEXT(AVERAGE(F2:F6),"0.0000") &amp; "±" &amp; TEXT(_xlfn.STDEV.S(F2:F6),"0.0000")</f>
        <v>0.9939±0.0006</v>
      </c>
      <c r="G7" t="str">
        <f t="shared" si="0"/>
        <v>0.9939±0.0006</v>
      </c>
      <c r="H7" t="str">
        <f t="shared" si="0"/>
        <v>0.9580±0.0097</v>
      </c>
      <c r="I7" t="str">
        <f t="shared" si="0"/>
        <v>0.9712±0.0081</v>
      </c>
      <c r="J7" t="str">
        <f t="shared" si="0"/>
        <v>0.9656±0.0047</v>
      </c>
      <c r="K7" t="str">
        <f t="shared" si="0"/>
        <v>0.9645±0.0048</v>
      </c>
    </row>
    <row r="8" spans="1:11" x14ac:dyDescent="0.4">
      <c r="A8" s="1" t="s">
        <v>11</v>
      </c>
      <c r="B8" s="1" t="s">
        <v>13</v>
      </c>
      <c r="C8" s="1">
        <v>42</v>
      </c>
      <c r="D8" s="4">
        <v>13</v>
      </c>
      <c r="E8" s="4">
        <v>0.94069999999999998</v>
      </c>
      <c r="F8" s="4">
        <v>0.92759999999999998</v>
      </c>
      <c r="G8" s="4">
        <v>0.92769999999999997</v>
      </c>
      <c r="H8" s="4">
        <v>0.81210000000000004</v>
      </c>
      <c r="I8" s="4">
        <v>0.87370000000000003</v>
      </c>
      <c r="J8" s="4">
        <v>0.86280000000000001</v>
      </c>
      <c r="K8" s="4">
        <v>0.84179999999999999</v>
      </c>
    </row>
    <row r="9" spans="1:11" x14ac:dyDescent="0.4">
      <c r="A9" s="1" t="s">
        <v>11</v>
      </c>
      <c r="B9" s="1" t="s">
        <v>13</v>
      </c>
      <c r="C9" s="1">
        <v>1234</v>
      </c>
      <c r="D9" s="4">
        <v>26</v>
      </c>
      <c r="E9" s="4">
        <v>0.95989999999999998</v>
      </c>
      <c r="F9" s="4">
        <v>0.94840000000000002</v>
      </c>
      <c r="G9" s="4">
        <v>0.94840000000000002</v>
      </c>
      <c r="H9" s="4">
        <v>0.88390000000000002</v>
      </c>
      <c r="I9" s="4">
        <v>0.8337</v>
      </c>
      <c r="J9" s="4">
        <v>0.88480000000000003</v>
      </c>
      <c r="K9" s="4">
        <v>0.85809999999999997</v>
      </c>
    </row>
    <row r="10" spans="1:11" x14ac:dyDescent="0.4">
      <c r="A10" s="1" t="s">
        <v>11</v>
      </c>
      <c r="B10" s="1" t="s">
        <v>13</v>
      </c>
      <c r="C10" s="1">
        <v>2025</v>
      </c>
      <c r="D10" s="4">
        <v>25</v>
      </c>
      <c r="E10" s="4">
        <v>0.95579999999999998</v>
      </c>
      <c r="F10" s="4">
        <v>0.94330000000000003</v>
      </c>
      <c r="G10" s="4">
        <v>0.94340000000000002</v>
      </c>
      <c r="H10" s="4">
        <v>0.86529999999999996</v>
      </c>
      <c r="I10" s="4">
        <v>0.86529999999999996</v>
      </c>
      <c r="J10" s="4">
        <v>0.88739999999999997</v>
      </c>
      <c r="K10" s="4">
        <v>0.86529999999999996</v>
      </c>
    </row>
    <row r="11" spans="1:11" x14ac:dyDescent="0.4">
      <c r="A11" s="1" t="s">
        <v>11</v>
      </c>
      <c r="B11" s="1" t="s">
        <v>13</v>
      </c>
      <c r="C11" s="1">
        <v>12345</v>
      </c>
      <c r="D11" s="4">
        <v>30</v>
      </c>
      <c r="E11" s="4">
        <v>0.95950000000000002</v>
      </c>
      <c r="F11" s="4">
        <v>0.94979999999999998</v>
      </c>
      <c r="G11" s="4">
        <v>0.94989999999999997</v>
      </c>
      <c r="H11" s="4">
        <v>0.86509999999999998</v>
      </c>
      <c r="I11" s="4">
        <v>0.87790000000000001</v>
      </c>
      <c r="J11" s="4">
        <v>0.89180000000000004</v>
      </c>
      <c r="K11" s="4">
        <v>0.87150000000000005</v>
      </c>
    </row>
    <row r="12" spans="1:11" x14ac:dyDescent="0.4">
      <c r="A12" s="1" t="s">
        <v>11</v>
      </c>
      <c r="B12" s="1" t="s">
        <v>13</v>
      </c>
      <c r="C12" s="1">
        <v>666</v>
      </c>
      <c r="D12" s="4">
        <v>20</v>
      </c>
      <c r="E12" s="4">
        <v>0.94730000000000003</v>
      </c>
      <c r="F12" s="4">
        <v>0.9284</v>
      </c>
      <c r="G12" s="4">
        <v>0.92849999999999999</v>
      </c>
      <c r="H12" s="4">
        <v>0.8599</v>
      </c>
      <c r="I12" s="4">
        <v>0.84</v>
      </c>
      <c r="J12" s="4">
        <v>0.876</v>
      </c>
      <c r="K12" s="4">
        <v>0.8498</v>
      </c>
    </row>
    <row r="13" spans="1:11" x14ac:dyDescent="0.4">
      <c r="A13" s="1"/>
      <c r="B13" s="1"/>
      <c r="C13" s="1"/>
      <c r="D13" s="1"/>
      <c r="E13" t="str">
        <f xml:space="preserve"> TEXT(AVERAGE(E8:E12),"0.0000") &amp; "±" &amp; TEXT(_xlfn.STDEV.S(E8:E12),"0.0000")</f>
        <v>0.9526±0.0084</v>
      </c>
      <c r="F13" t="str">
        <f t="shared" ref="F13:K13" si="1" xml:space="preserve"> TEXT(AVERAGE(F8:F12),"0.0000") &amp; "±" &amp; TEXT(_xlfn.STDEV.S(F8:F12),"0.0000")</f>
        <v>0.9395±0.0108</v>
      </c>
      <c r="G13" t="str">
        <f t="shared" si="1"/>
        <v>0.9396±0.0108</v>
      </c>
      <c r="H13" t="str">
        <f t="shared" si="1"/>
        <v>0.8573±0.0268</v>
      </c>
      <c r="I13" t="str">
        <f t="shared" si="1"/>
        <v>0.8581±0.0201</v>
      </c>
      <c r="J13" t="str">
        <f t="shared" si="1"/>
        <v>0.8806±0.0115</v>
      </c>
      <c r="K13" t="str">
        <f t="shared" si="1"/>
        <v>0.8573±0.0119</v>
      </c>
    </row>
    <row r="14" spans="1:11" x14ac:dyDescent="0.4">
      <c r="A14" s="1" t="s">
        <v>11</v>
      </c>
      <c r="B14" s="1" t="s">
        <v>14</v>
      </c>
      <c r="C14" s="1">
        <v>42</v>
      </c>
      <c r="D14" s="4">
        <v>7</v>
      </c>
      <c r="E14" s="4">
        <v>0.96419999999999995</v>
      </c>
      <c r="F14" s="4">
        <v>0.97399999999999998</v>
      </c>
      <c r="G14" s="4">
        <v>0.97399999999999998</v>
      </c>
      <c r="H14" s="4">
        <v>0.97909999999999997</v>
      </c>
      <c r="I14" s="4">
        <v>0.73980000000000001</v>
      </c>
      <c r="J14" s="4">
        <v>0.84240000000000004</v>
      </c>
      <c r="K14" s="4">
        <v>0.84279999999999999</v>
      </c>
    </row>
    <row r="15" spans="1:11" x14ac:dyDescent="0.4">
      <c r="A15" s="1" t="s">
        <v>11</v>
      </c>
      <c r="B15" s="1" t="s">
        <v>14</v>
      </c>
      <c r="C15" s="1">
        <v>1234</v>
      </c>
      <c r="D15" s="4">
        <v>6</v>
      </c>
      <c r="E15" s="4">
        <v>0.97389999999999999</v>
      </c>
      <c r="F15" s="4">
        <v>0.97989999999999999</v>
      </c>
      <c r="G15" s="4">
        <v>0.97989999999999999</v>
      </c>
      <c r="H15" s="4">
        <v>0.97109999999999996</v>
      </c>
      <c r="I15" s="4">
        <v>0.84389999999999998</v>
      </c>
      <c r="J15" s="4">
        <v>0.89659999999999995</v>
      </c>
      <c r="K15" s="4">
        <v>0.90300000000000002</v>
      </c>
    </row>
    <row r="16" spans="1:11" x14ac:dyDescent="0.4">
      <c r="A16" s="1" t="s">
        <v>11</v>
      </c>
      <c r="B16" s="1" t="s">
        <v>14</v>
      </c>
      <c r="C16" s="1">
        <v>2025</v>
      </c>
      <c r="D16" s="4">
        <v>8</v>
      </c>
      <c r="E16" s="4">
        <v>0.96430000000000005</v>
      </c>
      <c r="F16" s="4">
        <v>0.97299999999999998</v>
      </c>
      <c r="G16" s="4">
        <v>0.97299999999999998</v>
      </c>
      <c r="H16" s="4">
        <v>0.97209999999999996</v>
      </c>
      <c r="I16" s="4">
        <v>0.77700000000000002</v>
      </c>
      <c r="J16" s="4">
        <v>0.8599</v>
      </c>
      <c r="K16" s="4">
        <v>0.86360000000000003</v>
      </c>
    </row>
    <row r="17" spans="1:11" x14ac:dyDescent="0.4">
      <c r="A17" s="1" t="s">
        <v>11</v>
      </c>
      <c r="B17" s="1" t="s">
        <v>14</v>
      </c>
      <c r="C17" s="1">
        <v>12345</v>
      </c>
      <c r="D17" s="4">
        <v>10</v>
      </c>
      <c r="E17" s="4">
        <v>0.96579999999999999</v>
      </c>
      <c r="F17" s="4">
        <v>0.97509999999999997</v>
      </c>
      <c r="G17" s="4">
        <v>0.97509999999999997</v>
      </c>
      <c r="H17" s="4">
        <v>0.97609999999999997</v>
      </c>
      <c r="I17" s="4">
        <v>0.76019999999999999</v>
      </c>
      <c r="J17" s="4">
        <v>0.85250000000000004</v>
      </c>
      <c r="K17" s="4">
        <v>0.85470000000000002</v>
      </c>
    </row>
    <row r="18" spans="1:11" x14ac:dyDescent="0.4">
      <c r="A18" s="1" t="s">
        <v>11</v>
      </c>
      <c r="B18" s="1" t="s">
        <v>14</v>
      </c>
      <c r="C18" s="1">
        <v>666</v>
      </c>
      <c r="D18" s="4">
        <v>6</v>
      </c>
      <c r="E18" s="4">
        <v>0.96960000000000002</v>
      </c>
      <c r="F18" s="4">
        <v>0.97619999999999996</v>
      </c>
      <c r="G18" s="4">
        <v>0.97619999999999996</v>
      </c>
      <c r="H18" s="4">
        <v>0.94720000000000004</v>
      </c>
      <c r="I18" s="4">
        <v>0.91639999999999999</v>
      </c>
      <c r="J18" s="4">
        <v>0.92310000000000003</v>
      </c>
      <c r="K18" s="4">
        <v>0.93149999999999999</v>
      </c>
    </row>
    <row r="19" spans="1:11" x14ac:dyDescent="0.4">
      <c r="A19" s="1"/>
      <c r="B19" s="1"/>
      <c r="C19" s="1"/>
      <c r="D19" s="1"/>
      <c r="E19" t="str">
        <f xml:space="preserve"> TEXT(AVERAGE(E14:E18),"0.0000") &amp; "±" &amp; TEXT(_xlfn.STDEV.S(E14:E18),"0.0000")</f>
        <v>0.9676±0.0042</v>
      </c>
      <c r="F19" t="str">
        <f t="shared" ref="F19:K19" si="2" xml:space="preserve"> TEXT(AVERAGE(F14:F18),"0.0000") &amp; "±" &amp; TEXT(_xlfn.STDEV.S(F14:F18),"0.0000")</f>
        <v>0.9756±0.0027</v>
      </c>
      <c r="G19" t="str">
        <f t="shared" si="2"/>
        <v>0.9756±0.0027</v>
      </c>
      <c r="H19" t="str">
        <f t="shared" si="2"/>
        <v>0.9691±0.0127</v>
      </c>
      <c r="I19" t="str">
        <f t="shared" si="2"/>
        <v>0.8075±0.0723</v>
      </c>
      <c r="J19" t="str">
        <f t="shared" si="2"/>
        <v>0.8749±0.0338</v>
      </c>
      <c r="K19" t="str">
        <f t="shared" si="2"/>
        <v>0.8791±0.0370</v>
      </c>
    </row>
    <row r="20" spans="1:11" x14ac:dyDescent="0.4">
      <c r="A20" s="1" t="s">
        <v>11</v>
      </c>
      <c r="B20" s="1" t="s">
        <v>15</v>
      </c>
      <c r="C20" s="1">
        <v>42</v>
      </c>
      <c r="D20" s="4">
        <v>16</v>
      </c>
      <c r="E20" s="4">
        <v>0.99539999999999995</v>
      </c>
      <c r="F20" s="4">
        <v>0.99580000000000002</v>
      </c>
      <c r="G20" s="4">
        <v>0.99580000000000002</v>
      </c>
      <c r="H20" s="4">
        <v>0.94079999999999997</v>
      </c>
      <c r="I20" s="4">
        <v>0.9597</v>
      </c>
      <c r="J20" s="4">
        <v>0.9486</v>
      </c>
      <c r="K20" s="4">
        <v>0.95020000000000004</v>
      </c>
    </row>
    <row r="21" spans="1:11" x14ac:dyDescent="0.4">
      <c r="A21" s="1" t="s">
        <v>11</v>
      </c>
      <c r="B21" s="1" t="s">
        <v>15</v>
      </c>
      <c r="C21" s="1">
        <v>1234</v>
      </c>
      <c r="D21" s="4">
        <v>25</v>
      </c>
      <c r="E21" s="4">
        <v>0.99670000000000003</v>
      </c>
      <c r="F21" s="4">
        <v>0.99680000000000002</v>
      </c>
      <c r="G21" s="4">
        <v>0.99690000000000001</v>
      </c>
      <c r="H21" s="4">
        <v>0.95450000000000002</v>
      </c>
      <c r="I21" s="4">
        <v>0.98660000000000003</v>
      </c>
      <c r="J21" s="4">
        <v>0.96919999999999995</v>
      </c>
      <c r="K21" s="4">
        <v>0.97030000000000005</v>
      </c>
    </row>
    <row r="22" spans="1:11" x14ac:dyDescent="0.4">
      <c r="A22" s="1" t="s">
        <v>11</v>
      </c>
      <c r="B22" s="1" t="s">
        <v>15</v>
      </c>
      <c r="C22" s="1">
        <v>2025</v>
      </c>
      <c r="D22" s="4">
        <v>19</v>
      </c>
      <c r="E22" s="4">
        <v>0.99570000000000003</v>
      </c>
      <c r="F22" s="4">
        <v>0.99590000000000001</v>
      </c>
      <c r="G22" s="4">
        <v>0.996</v>
      </c>
      <c r="H22" s="4">
        <v>0.95420000000000005</v>
      </c>
      <c r="I22" s="4">
        <v>0.97989999999999999</v>
      </c>
      <c r="J22" s="4">
        <v>0.96579999999999999</v>
      </c>
      <c r="K22" s="4">
        <v>0.96689999999999998</v>
      </c>
    </row>
    <row r="23" spans="1:11" x14ac:dyDescent="0.4">
      <c r="A23" s="1" t="s">
        <v>11</v>
      </c>
      <c r="B23" s="1" t="s">
        <v>15</v>
      </c>
      <c r="C23" s="1">
        <v>12345</v>
      </c>
      <c r="D23" s="4">
        <v>24</v>
      </c>
      <c r="E23" s="4">
        <v>0.99729999999999996</v>
      </c>
      <c r="F23" s="4">
        <v>0.99750000000000005</v>
      </c>
      <c r="G23" s="4">
        <v>0.99760000000000004</v>
      </c>
      <c r="H23" s="4">
        <v>0.96709999999999996</v>
      </c>
      <c r="I23" s="4">
        <v>0.98660000000000003</v>
      </c>
      <c r="J23" s="4">
        <v>0.97599999999999998</v>
      </c>
      <c r="K23" s="4">
        <v>0.97670000000000001</v>
      </c>
    </row>
    <row r="24" spans="1:11" x14ac:dyDescent="0.4">
      <c r="A24" s="1" t="s">
        <v>11</v>
      </c>
      <c r="B24" s="1" t="s">
        <v>15</v>
      </c>
      <c r="C24" s="1">
        <v>666</v>
      </c>
      <c r="D24" s="4">
        <v>26</v>
      </c>
      <c r="E24" s="4">
        <v>0.99550000000000005</v>
      </c>
      <c r="F24" s="4">
        <v>0.99619999999999997</v>
      </c>
      <c r="G24" s="4">
        <v>0.99619999999999997</v>
      </c>
      <c r="H24" s="4">
        <v>0.94189999999999996</v>
      </c>
      <c r="I24" s="4">
        <v>0.97989999999999999</v>
      </c>
      <c r="J24" s="4">
        <v>0.95889999999999997</v>
      </c>
      <c r="K24" s="4">
        <v>0.96050000000000002</v>
      </c>
    </row>
    <row r="25" spans="1:11" x14ac:dyDescent="0.4">
      <c r="A25" s="1"/>
      <c r="B25" s="1"/>
      <c r="C25" s="1"/>
      <c r="D25" s="1"/>
      <c r="E25" t="str">
        <f xml:space="preserve"> TEXT(AVERAGE(E20:E24),"0.0000") &amp; "±" &amp; TEXT(_xlfn.STDEV.S(E20:E24),"0.0000")</f>
        <v>0.9961±0.0008</v>
      </c>
      <c r="F25" t="str">
        <f t="shared" ref="F25:K25" si="3" xml:space="preserve"> TEXT(AVERAGE(F20:F24),"0.0000") &amp; "±" &amp; TEXT(_xlfn.STDEV.S(F20:F24),"0.0000")</f>
        <v>0.9964±0.0007</v>
      </c>
      <c r="G25" t="str">
        <f t="shared" si="3"/>
        <v>0.9965±0.0007</v>
      </c>
      <c r="H25" t="str">
        <f t="shared" si="3"/>
        <v>0.9517±0.0108</v>
      </c>
      <c r="I25" t="str">
        <f t="shared" si="3"/>
        <v>0.9785±0.0111</v>
      </c>
      <c r="J25" t="str">
        <f t="shared" si="3"/>
        <v>0.9637±0.0105</v>
      </c>
      <c r="K25" t="str">
        <f t="shared" si="3"/>
        <v>0.9649±0.0101</v>
      </c>
    </row>
    <row r="26" spans="1:11" x14ac:dyDescent="0.4">
      <c r="A26" s="1" t="s">
        <v>11</v>
      </c>
      <c r="B26" s="1" t="s">
        <v>16</v>
      </c>
      <c r="C26" s="1">
        <v>42</v>
      </c>
      <c r="D26" s="4">
        <v>20</v>
      </c>
      <c r="E26" s="4">
        <v>0.999</v>
      </c>
      <c r="F26" s="4">
        <v>0.99919999999999998</v>
      </c>
      <c r="G26" s="4">
        <v>0.99919999999999998</v>
      </c>
      <c r="H26" s="4">
        <v>0.99280000000000002</v>
      </c>
      <c r="I26" s="4">
        <v>0.98560000000000003</v>
      </c>
      <c r="J26" s="4">
        <v>0.98799999999999999</v>
      </c>
      <c r="K26" s="4">
        <v>0.98919999999999997</v>
      </c>
    </row>
    <row r="27" spans="1:11" x14ac:dyDescent="0.4">
      <c r="A27" s="1" t="s">
        <v>11</v>
      </c>
      <c r="B27" s="1" t="s">
        <v>16</v>
      </c>
      <c r="C27" s="1">
        <v>1234</v>
      </c>
      <c r="D27" s="4">
        <v>27</v>
      </c>
      <c r="E27" s="4">
        <v>0.99790000000000001</v>
      </c>
      <c r="F27" s="4">
        <v>0.99819999999999998</v>
      </c>
      <c r="G27" s="4">
        <v>0.99819999999999998</v>
      </c>
      <c r="H27" s="4">
        <v>0.97840000000000005</v>
      </c>
      <c r="I27" s="4">
        <v>0.97840000000000005</v>
      </c>
      <c r="J27" s="4">
        <v>0.97599999999999998</v>
      </c>
      <c r="K27" s="4">
        <v>0.97840000000000005</v>
      </c>
    </row>
    <row r="28" spans="1:11" x14ac:dyDescent="0.4">
      <c r="A28" s="1" t="s">
        <v>11</v>
      </c>
      <c r="B28" s="1" t="s">
        <v>16</v>
      </c>
      <c r="C28" s="1">
        <v>2025</v>
      </c>
      <c r="D28" s="4">
        <v>28</v>
      </c>
      <c r="E28" s="4">
        <v>0.99860000000000004</v>
      </c>
      <c r="F28" s="4">
        <v>0.99880000000000002</v>
      </c>
      <c r="G28" s="4">
        <v>0.99880000000000002</v>
      </c>
      <c r="H28" s="4">
        <v>0.99280000000000002</v>
      </c>
      <c r="I28" s="4">
        <v>0.98560000000000003</v>
      </c>
      <c r="J28" s="4">
        <v>0.98799999999999999</v>
      </c>
      <c r="K28" s="4">
        <v>0.98919999999999997</v>
      </c>
    </row>
    <row r="29" spans="1:11" x14ac:dyDescent="0.4">
      <c r="A29" s="1" t="s">
        <v>11</v>
      </c>
      <c r="B29" s="1" t="s">
        <v>16</v>
      </c>
      <c r="C29" s="1">
        <v>12345</v>
      </c>
      <c r="D29" s="4">
        <v>25</v>
      </c>
      <c r="E29" s="4">
        <v>0.99819999999999998</v>
      </c>
      <c r="F29" s="4">
        <v>0.99850000000000005</v>
      </c>
      <c r="G29" s="4">
        <v>0.99850000000000005</v>
      </c>
      <c r="H29" s="4">
        <v>0.99250000000000005</v>
      </c>
      <c r="I29" s="4">
        <v>0.9496</v>
      </c>
      <c r="J29" s="4">
        <v>0.96799999999999997</v>
      </c>
      <c r="K29" s="4">
        <v>0.97060000000000002</v>
      </c>
    </row>
    <row r="30" spans="1:11" x14ac:dyDescent="0.4">
      <c r="A30" s="1" t="s">
        <v>11</v>
      </c>
      <c r="B30" s="1" t="s">
        <v>16</v>
      </c>
      <c r="C30" s="1">
        <v>666</v>
      </c>
      <c r="D30" s="4">
        <v>24</v>
      </c>
      <c r="E30" s="4">
        <v>0.99809999999999999</v>
      </c>
      <c r="F30" s="4">
        <v>0.99850000000000005</v>
      </c>
      <c r="G30" s="4">
        <v>0.99850000000000005</v>
      </c>
      <c r="H30" s="4">
        <v>0.99219999999999997</v>
      </c>
      <c r="I30" s="4">
        <v>0.92090000000000005</v>
      </c>
      <c r="J30" s="4">
        <v>0.95199999999999996</v>
      </c>
      <c r="K30" s="4">
        <v>0.95520000000000005</v>
      </c>
    </row>
    <row r="31" spans="1:11" x14ac:dyDescent="0.4">
      <c r="E31" t="str">
        <f xml:space="preserve"> TEXT(AVERAGE(E26:E30),"0.0000") &amp; "±" &amp; TEXT(_xlfn.STDEV.S(E26:E30),"0.0000")</f>
        <v>0.9984±0.0004</v>
      </c>
      <c r="F31" t="str">
        <f t="shared" ref="F31:K31" si="4" xml:space="preserve"> TEXT(AVERAGE(F26:F30),"0.0000") &amp; "±" &amp; TEXT(_xlfn.STDEV.S(F26:F30),"0.0000")</f>
        <v>0.9986±0.0004</v>
      </c>
      <c r="G31" t="str">
        <f t="shared" si="4"/>
        <v>0.9986±0.0004</v>
      </c>
      <c r="H31" t="str">
        <f t="shared" si="4"/>
        <v>0.9897±0.0063</v>
      </c>
      <c r="I31" t="str">
        <f t="shared" si="4"/>
        <v>0.9640±0.0283</v>
      </c>
      <c r="J31" t="str">
        <f t="shared" si="4"/>
        <v>0.9744±0.0151</v>
      </c>
      <c r="K31" t="str">
        <f t="shared" si="4"/>
        <v>0.9765±0.0143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E8A1-466E-4044-9083-70D3ABB3121B}">
  <dimension ref="A1:K31"/>
  <sheetViews>
    <sheetView workbookViewId="0">
      <selection activeCell="D2" sqref="D2:K6"/>
    </sheetView>
  </sheetViews>
  <sheetFormatPr defaultRowHeight="18.75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2" t="s">
        <v>17</v>
      </c>
      <c r="B2" s="1" t="s">
        <v>12</v>
      </c>
      <c r="C2" s="1">
        <v>42</v>
      </c>
      <c r="D2" s="4">
        <v>15</v>
      </c>
      <c r="E2" s="4">
        <v>0.9859</v>
      </c>
      <c r="F2" s="4">
        <v>0.9899</v>
      </c>
      <c r="G2" s="4">
        <v>0.9899</v>
      </c>
      <c r="H2" s="4">
        <v>0.98180000000000001</v>
      </c>
      <c r="I2" s="4">
        <v>0.92820000000000003</v>
      </c>
      <c r="J2" s="4">
        <v>0.95389999999999997</v>
      </c>
      <c r="K2" s="4">
        <v>0.95420000000000005</v>
      </c>
    </row>
    <row r="3" spans="1:11" x14ac:dyDescent="0.4">
      <c r="A3" s="2" t="s">
        <v>17</v>
      </c>
      <c r="B3" s="1" t="s">
        <v>12</v>
      </c>
      <c r="C3" s="1">
        <v>1234</v>
      </c>
      <c r="D3" s="4">
        <v>17</v>
      </c>
      <c r="E3" s="4">
        <v>0.98699999999999999</v>
      </c>
      <c r="F3" s="4">
        <v>0.99139999999999995</v>
      </c>
      <c r="G3" s="4">
        <v>0.99139999999999995</v>
      </c>
      <c r="H3" s="4">
        <v>0.97660000000000002</v>
      </c>
      <c r="I3" s="4">
        <v>0.95979999999999999</v>
      </c>
      <c r="J3" s="4">
        <v>0.96730000000000005</v>
      </c>
      <c r="K3" s="4">
        <v>0.96809999999999996</v>
      </c>
    </row>
    <row r="4" spans="1:11" x14ac:dyDescent="0.4">
      <c r="A4" s="2" t="s">
        <v>17</v>
      </c>
      <c r="B4" s="1" t="s">
        <v>12</v>
      </c>
      <c r="C4" s="1">
        <v>2025</v>
      </c>
      <c r="D4" s="4">
        <v>14</v>
      </c>
      <c r="E4" s="4">
        <v>0.98860000000000003</v>
      </c>
      <c r="F4" s="4">
        <v>0.99209999999999998</v>
      </c>
      <c r="G4" s="4">
        <v>0.99209999999999998</v>
      </c>
      <c r="H4" s="4">
        <v>0.96840000000000004</v>
      </c>
      <c r="I4" s="4">
        <v>0.96840000000000004</v>
      </c>
      <c r="J4" s="4">
        <v>0.96730000000000005</v>
      </c>
      <c r="K4" s="4">
        <v>0.96840000000000004</v>
      </c>
    </row>
    <row r="5" spans="1:11" x14ac:dyDescent="0.4">
      <c r="A5" s="2" t="s">
        <v>17</v>
      </c>
      <c r="B5" s="1" t="s">
        <v>12</v>
      </c>
      <c r="C5" s="1">
        <v>12345</v>
      </c>
      <c r="D5" s="4">
        <v>15</v>
      </c>
      <c r="E5" s="4">
        <v>0.98909999999999998</v>
      </c>
      <c r="F5" s="4">
        <v>0.99219999999999997</v>
      </c>
      <c r="G5" s="4">
        <v>0.99229999999999996</v>
      </c>
      <c r="H5" s="4">
        <v>0.95199999999999996</v>
      </c>
      <c r="I5" s="4">
        <v>0.96840000000000004</v>
      </c>
      <c r="J5" s="4">
        <v>0.95840000000000003</v>
      </c>
      <c r="K5" s="4">
        <v>0.96009999999999995</v>
      </c>
    </row>
    <row r="6" spans="1:11" x14ac:dyDescent="0.4">
      <c r="A6" s="2" t="s">
        <v>17</v>
      </c>
      <c r="B6" s="1" t="s">
        <v>12</v>
      </c>
      <c r="C6" s="1">
        <v>666</v>
      </c>
      <c r="D6" s="4">
        <v>25</v>
      </c>
      <c r="E6" s="4">
        <v>0.98770000000000002</v>
      </c>
      <c r="F6" s="4">
        <v>0.99109999999999998</v>
      </c>
      <c r="G6" s="4">
        <v>0.99109999999999998</v>
      </c>
      <c r="H6" s="4">
        <v>0.97099999999999997</v>
      </c>
      <c r="I6" s="4">
        <v>0.96260000000000001</v>
      </c>
      <c r="J6" s="4">
        <v>0.96579999999999999</v>
      </c>
      <c r="K6" s="4">
        <v>0.96679999999999999</v>
      </c>
    </row>
    <row r="7" spans="1:11" x14ac:dyDescent="0.4">
      <c r="A7" s="1"/>
      <c r="B7" s="1"/>
      <c r="C7" s="1"/>
      <c r="D7" s="1"/>
      <c r="E7" t="str">
        <f xml:space="preserve"> TEXT(AVERAGE(E2:E6),"0.0000") &amp; "±" &amp; TEXT(_xlfn.STDEV.S(E2:E6),"0.0000")</f>
        <v>0.9877±0.0013</v>
      </c>
      <c r="F7" t="str">
        <f t="shared" ref="F7:K7" si="0" xml:space="preserve"> TEXT(AVERAGE(F2:F6),"0.0000") &amp; "±" &amp; TEXT(_xlfn.STDEV.S(F2:F6),"0.0000")</f>
        <v>0.9913±0.0009</v>
      </c>
      <c r="G7" t="str">
        <f t="shared" si="0"/>
        <v>0.9914±0.0010</v>
      </c>
      <c r="H7" t="str">
        <f t="shared" si="0"/>
        <v>0.9700±0.0113</v>
      </c>
      <c r="I7" t="str">
        <f t="shared" si="0"/>
        <v>0.9575±0.0168</v>
      </c>
      <c r="J7" t="str">
        <f t="shared" si="0"/>
        <v>0.9625±0.0061</v>
      </c>
      <c r="K7" t="str">
        <f t="shared" si="0"/>
        <v>0.9635±0.0062</v>
      </c>
    </row>
    <row r="8" spans="1:11" x14ac:dyDescent="0.4">
      <c r="A8" s="2" t="s">
        <v>17</v>
      </c>
      <c r="B8" s="1" t="s">
        <v>13</v>
      </c>
      <c r="C8" s="1">
        <v>42</v>
      </c>
      <c r="D8" s="4">
        <v>25</v>
      </c>
      <c r="E8" s="4">
        <v>0.93089999999999995</v>
      </c>
      <c r="F8" s="4">
        <v>0.9173</v>
      </c>
      <c r="G8" s="4">
        <v>0.91739999999999999</v>
      </c>
      <c r="H8" s="4">
        <v>0.82389999999999997</v>
      </c>
      <c r="I8" s="4">
        <v>0.80830000000000002</v>
      </c>
      <c r="J8" s="4">
        <v>0.84140000000000004</v>
      </c>
      <c r="K8" s="4">
        <v>0.81599999999999995</v>
      </c>
    </row>
    <row r="9" spans="1:11" x14ac:dyDescent="0.4">
      <c r="A9" s="2" t="s">
        <v>17</v>
      </c>
      <c r="B9" s="1" t="s">
        <v>13</v>
      </c>
      <c r="C9" s="1">
        <v>1234</v>
      </c>
      <c r="D9" s="4">
        <v>14</v>
      </c>
      <c r="E9" s="4">
        <v>0.9234</v>
      </c>
      <c r="F9" s="4">
        <v>0.90490000000000004</v>
      </c>
      <c r="G9" s="4">
        <v>0.90500000000000003</v>
      </c>
      <c r="H9" s="4">
        <v>0.82299999999999995</v>
      </c>
      <c r="I9" s="4">
        <v>0.77890000000000004</v>
      </c>
      <c r="J9" s="4">
        <v>0.83079999999999998</v>
      </c>
      <c r="K9" s="4">
        <v>0.80030000000000001</v>
      </c>
    </row>
    <row r="10" spans="1:11" x14ac:dyDescent="0.4">
      <c r="A10" s="2" t="s">
        <v>17</v>
      </c>
      <c r="B10" s="1" t="s">
        <v>13</v>
      </c>
      <c r="C10" s="1">
        <v>2025</v>
      </c>
      <c r="D10" s="4">
        <v>20</v>
      </c>
      <c r="E10" s="4">
        <v>0.92179999999999995</v>
      </c>
      <c r="F10" s="4">
        <v>0.9083</v>
      </c>
      <c r="G10" s="4">
        <v>0.90839999999999999</v>
      </c>
      <c r="H10" s="4">
        <v>0.79969999999999997</v>
      </c>
      <c r="I10" s="4">
        <v>0.83420000000000005</v>
      </c>
      <c r="J10" s="4">
        <v>0.83679999999999999</v>
      </c>
      <c r="K10" s="4">
        <v>0.81659999999999999</v>
      </c>
    </row>
    <row r="11" spans="1:11" x14ac:dyDescent="0.4">
      <c r="A11" s="2" t="s">
        <v>17</v>
      </c>
      <c r="B11" s="1" t="s">
        <v>13</v>
      </c>
      <c r="C11" s="1">
        <v>12345</v>
      </c>
      <c r="D11" s="4">
        <v>29</v>
      </c>
      <c r="E11" s="4">
        <v>0.92669999999999997</v>
      </c>
      <c r="F11" s="4">
        <v>0.91449999999999998</v>
      </c>
      <c r="G11" s="4">
        <v>0.91459999999999997</v>
      </c>
      <c r="H11" s="4">
        <v>0.85389999999999999</v>
      </c>
      <c r="I11" s="4">
        <v>0.7772</v>
      </c>
      <c r="J11" s="4">
        <v>0.84509999999999996</v>
      </c>
      <c r="K11" s="4">
        <v>0.81369999999999998</v>
      </c>
    </row>
    <row r="12" spans="1:11" x14ac:dyDescent="0.4">
      <c r="A12" s="2" t="s">
        <v>17</v>
      </c>
      <c r="B12" s="1" t="s">
        <v>13</v>
      </c>
      <c r="C12" s="1">
        <v>666</v>
      </c>
      <c r="D12" s="4">
        <v>17</v>
      </c>
      <c r="E12" s="4">
        <v>0.91869999999999996</v>
      </c>
      <c r="F12" s="4">
        <v>0.90529999999999999</v>
      </c>
      <c r="G12" s="4">
        <v>0.90539999999999998</v>
      </c>
      <c r="H12" s="4">
        <v>0.8165</v>
      </c>
      <c r="I12" s="4">
        <v>0.76859999999999995</v>
      </c>
      <c r="J12" s="4">
        <v>0.82410000000000005</v>
      </c>
      <c r="K12" s="4">
        <v>0.79179999999999995</v>
      </c>
    </row>
    <row r="13" spans="1:11" x14ac:dyDescent="0.4">
      <c r="A13" s="1"/>
      <c r="B13" s="1"/>
      <c r="C13" s="1"/>
      <c r="D13" s="1"/>
      <c r="E13" t="str">
        <f t="shared" ref="E13:K13" si="1" xml:space="preserve"> TEXT(AVERAGE(E8:E12),"0.0000") &amp; "±" &amp; TEXT(_xlfn.STDEV.S(E8:E12),"0.0000")</f>
        <v>0.9243±0.0047</v>
      </c>
      <c r="F13" t="str">
        <f t="shared" si="1"/>
        <v>0.9101±0.0056</v>
      </c>
      <c r="G13" t="str">
        <f t="shared" si="1"/>
        <v>0.9102±0.0056</v>
      </c>
      <c r="H13" t="str">
        <f t="shared" si="1"/>
        <v>0.8234±0.0196</v>
      </c>
      <c r="I13" t="str">
        <f t="shared" si="1"/>
        <v>0.7934±0.0273</v>
      </c>
      <c r="J13" t="str">
        <f t="shared" si="1"/>
        <v>0.8356±0.0084</v>
      </c>
      <c r="K13" t="str">
        <f t="shared" si="1"/>
        <v>0.8077±0.0111</v>
      </c>
    </row>
    <row r="14" spans="1:11" x14ac:dyDescent="0.4">
      <c r="A14" s="2" t="s">
        <v>17</v>
      </c>
      <c r="B14" s="1" t="s">
        <v>14</v>
      </c>
      <c r="C14" s="1">
        <v>42</v>
      </c>
      <c r="D14" s="4">
        <v>16</v>
      </c>
      <c r="E14" s="4">
        <v>0.9708</v>
      </c>
      <c r="F14" s="4">
        <v>0.95640000000000003</v>
      </c>
      <c r="G14" s="4">
        <v>0.95650000000000002</v>
      </c>
      <c r="H14" s="4">
        <v>0.875</v>
      </c>
      <c r="I14" s="4">
        <v>0.92420000000000002</v>
      </c>
      <c r="J14" s="4">
        <v>0.91669999999999996</v>
      </c>
      <c r="K14" s="4">
        <v>0.89890000000000003</v>
      </c>
    </row>
    <row r="15" spans="1:11" x14ac:dyDescent="0.4">
      <c r="A15" s="2" t="s">
        <v>17</v>
      </c>
      <c r="B15" s="1" t="s">
        <v>14</v>
      </c>
      <c r="C15" s="1">
        <v>1234</v>
      </c>
      <c r="D15" s="4">
        <v>13</v>
      </c>
      <c r="E15" s="4">
        <v>0.97519999999999996</v>
      </c>
      <c r="F15" s="4">
        <v>0.96619999999999995</v>
      </c>
      <c r="G15" s="4">
        <v>0.96630000000000005</v>
      </c>
      <c r="H15" s="4">
        <v>0.94640000000000002</v>
      </c>
      <c r="I15" s="4">
        <v>0.87880000000000003</v>
      </c>
      <c r="J15" s="4">
        <v>0.93149999999999999</v>
      </c>
      <c r="K15" s="4">
        <v>0.9113</v>
      </c>
    </row>
    <row r="16" spans="1:11" x14ac:dyDescent="0.4">
      <c r="A16" s="2" t="s">
        <v>17</v>
      </c>
      <c r="B16" s="1" t="s">
        <v>14</v>
      </c>
      <c r="C16" s="1">
        <v>2025</v>
      </c>
      <c r="D16" s="4">
        <v>11</v>
      </c>
      <c r="E16" s="4">
        <v>0.96860000000000002</v>
      </c>
      <c r="F16" s="4">
        <v>0.9496</v>
      </c>
      <c r="G16" s="4">
        <v>0.94969999999999999</v>
      </c>
      <c r="H16" s="4">
        <v>0.90849999999999997</v>
      </c>
      <c r="I16" s="4">
        <v>0.90259999999999996</v>
      </c>
      <c r="J16" s="4">
        <v>0.92449999999999999</v>
      </c>
      <c r="K16" s="4">
        <v>0.90549999999999997</v>
      </c>
    </row>
    <row r="17" spans="1:11" x14ac:dyDescent="0.4">
      <c r="A17" s="2" t="s">
        <v>17</v>
      </c>
      <c r="B17" s="1" t="s">
        <v>14</v>
      </c>
      <c r="C17" s="1">
        <v>12345</v>
      </c>
      <c r="D17" s="4">
        <v>24</v>
      </c>
      <c r="E17" s="4">
        <v>0.97240000000000004</v>
      </c>
      <c r="F17" s="4">
        <v>0.95889999999999997</v>
      </c>
      <c r="G17" s="4">
        <v>0.95889999999999997</v>
      </c>
      <c r="H17" s="4">
        <v>0.93100000000000005</v>
      </c>
      <c r="I17" s="4">
        <v>0.90480000000000005</v>
      </c>
      <c r="J17" s="4">
        <v>0.93500000000000005</v>
      </c>
      <c r="K17" s="4">
        <v>0.91769999999999996</v>
      </c>
    </row>
    <row r="18" spans="1:11" x14ac:dyDescent="0.4">
      <c r="A18" s="2" t="s">
        <v>17</v>
      </c>
      <c r="B18" s="1" t="s">
        <v>14</v>
      </c>
      <c r="C18" s="1">
        <v>666</v>
      </c>
      <c r="D18" s="4">
        <v>30</v>
      </c>
      <c r="E18" s="4">
        <v>0.97460000000000002</v>
      </c>
      <c r="F18" s="4">
        <v>0.96550000000000002</v>
      </c>
      <c r="G18" s="4">
        <v>0.96550000000000002</v>
      </c>
      <c r="H18" s="4">
        <v>0.92310000000000003</v>
      </c>
      <c r="I18" s="4">
        <v>0.90910000000000002</v>
      </c>
      <c r="J18" s="4">
        <v>0.93320000000000003</v>
      </c>
      <c r="K18" s="4">
        <v>0.91600000000000004</v>
      </c>
    </row>
    <row r="19" spans="1:11" x14ac:dyDescent="0.4">
      <c r="A19" s="1"/>
      <c r="B19" s="1"/>
      <c r="C19" s="1"/>
      <c r="D19" s="1"/>
      <c r="E19" t="str">
        <f xml:space="preserve"> TEXT(AVERAGE(E14:E18),"0.0000") &amp; "±" &amp; TEXT(_xlfn.STDEV.S(E14:E18),"0.0000")</f>
        <v>0.9723±0.0027</v>
      </c>
      <c r="F19" t="str">
        <f t="shared" ref="F19:K19" si="2" xml:space="preserve"> TEXT(AVERAGE(F14:F18),"0.0000") &amp; "±" &amp; TEXT(_xlfn.STDEV.S(F14:F18),"0.0000")</f>
        <v>0.9593±0.0069</v>
      </c>
      <c r="G19" t="str">
        <f t="shared" si="2"/>
        <v>0.9594±0.0068</v>
      </c>
      <c r="H19" t="str">
        <f t="shared" si="2"/>
        <v>0.9168±0.0271</v>
      </c>
      <c r="I19" t="str">
        <f t="shared" si="2"/>
        <v>0.9039±0.0164</v>
      </c>
      <c r="J19" t="str">
        <f t="shared" si="2"/>
        <v>0.9282±0.0076</v>
      </c>
      <c r="K19" t="str">
        <f t="shared" si="2"/>
        <v>0.9099±0.0078</v>
      </c>
    </row>
    <row r="20" spans="1:11" x14ac:dyDescent="0.4">
      <c r="A20" s="2" t="s">
        <v>17</v>
      </c>
      <c r="B20" s="1" t="s">
        <v>15</v>
      </c>
      <c r="C20" s="1">
        <v>42</v>
      </c>
      <c r="D20" s="4">
        <v>28</v>
      </c>
      <c r="E20" s="4">
        <v>0.98499999999999999</v>
      </c>
      <c r="F20" s="4">
        <v>0.96579999999999999</v>
      </c>
      <c r="G20" s="4">
        <v>0.96609999999999996</v>
      </c>
      <c r="H20" s="4">
        <v>0.94440000000000002</v>
      </c>
      <c r="I20" s="4">
        <v>0.91069999999999995</v>
      </c>
      <c r="J20" s="4">
        <v>0.96330000000000005</v>
      </c>
      <c r="K20" s="4">
        <v>0.92730000000000001</v>
      </c>
    </row>
    <row r="21" spans="1:11" x14ac:dyDescent="0.4">
      <c r="A21" s="2" t="s">
        <v>17</v>
      </c>
      <c r="B21" s="1" t="s">
        <v>15</v>
      </c>
      <c r="C21" s="1">
        <v>1234</v>
      </c>
      <c r="D21" s="4">
        <v>24</v>
      </c>
      <c r="E21" s="4">
        <v>0.97219999999999995</v>
      </c>
      <c r="F21" s="4">
        <v>0.93759999999999999</v>
      </c>
      <c r="G21" s="4">
        <v>0.93820000000000003</v>
      </c>
      <c r="H21" s="4">
        <v>0.92310000000000003</v>
      </c>
      <c r="I21" s="4">
        <v>0.85709999999999997</v>
      </c>
      <c r="J21" s="4">
        <v>0.94499999999999995</v>
      </c>
      <c r="K21" s="4">
        <v>0.88890000000000002</v>
      </c>
    </row>
    <row r="22" spans="1:11" x14ac:dyDescent="0.4">
      <c r="A22" s="2" t="s">
        <v>17</v>
      </c>
      <c r="B22" s="1" t="s">
        <v>15</v>
      </c>
      <c r="C22" s="1">
        <v>2025</v>
      </c>
      <c r="D22" s="4">
        <v>25</v>
      </c>
      <c r="E22" s="4">
        <v>0.97970000000000002</v>
      </c>
      <c r="F22" s="4">
        <v>0.9355</v>
      </c>
      <c r="G22" s="4">
        <v>0.93730000000000002</v>
      </c>
      <c r="H22" s="4">
        <v>0.89659999999999995</v>
      </c>
      <c r="I22" s="4">
        <v>0.92859999999999998</v>
      </c>
      <c r="J22" s="4">
        <v>0.95409999999999995</v>
      </c>
      <c r="K22" s="4">
        <v>0.9123</v>
      </c>
    </row>
    <row r="23" spans="1:11" x14ac:dyDescent="0.4">
      <c r="A23" s="2" t="s">
        <v>17</v>
      </c>
      <c r="B23" s="1" t="s">
        <v>15</v>
      </c>
      <c r="C23" s="1">
        <v>12345</v>
      </c>
      <c r="D23" s="4">
        <v>30</v>
      </c>
      <c r="E23" s="4">
        <v>0.98560000000000003</v>
      </c>
      <c r="F23" s="4">
        <v>0.97260000000000002</v>
      </c>
      <c r="G23" s="4">
        <v>0.9728</v>
      </c>
      <c r="H23" s="4">
        <v>0.92859999999999998</v>
      </c>
      <c r="I23" s="4">
        <v>0.92859999999999998</v>
      </c>
      <c r="J23" s="4">
        <v>0.96330000000000005</v>
      </c>
      <c r="K23" s="4">
        <v>0.92859999999999998</v>
      </c>
    </row>
    <row r="24" spans="1:11" x14ac:dyDescent="0.4">
      <c r="A24" s="2" t="s">
        <v>17</v>
      </c>
      <c r="B24" s="1" t="s">
        <v>15</v>
      </c>
      <c r="C24" s="1">
        <v>666</v>
      </c>
      <c r="D24" s="4">
        <v>24</v>
      </c>
      <c r="E24" s="4">
        <v>0.97719999999999996</v>
      </c>
      <c r="F24" s="4">
        <v>0.94450000000000001</v>
      </c>
      <c r="G24" s="4">
        <v>0.94510000000000005</v>
      </c>
      <c r="H24" s="4">
        <v>0.89290000000000003</v>
      </c>
      <c r="I24" s="4">
        <v>0.89290000000000003</v>
      </c>
      <c r="J24" s="4">
        <v>0.94499999999999995</v>
      </c>
      <c r="K24" s="4">
        <v>0.89290000000000003</v>
      </c>
    </row>
    <row r="25" spans="1:11" x14ac:dyDescent="0.4">
      <c r="A25" s="1"/>
      <c r="B25" s="1"/>
      <c r="C25" s="1"/>
      <c r="D25" s="1"/>
      <c r="E25" t="str">
        <f xml:space="preserve"> TEXT(AVERAGE(E20:E24),"0.0000") &amp; "±" &amp; TEXT(_xlfn.STDEV.S(E20:E24),"0.0000")</f>
        <v>0.9799±0.0056</v>
      </c>
      <c r="F25" t="str">
        <f t="shared" ref="F25:K25" si="3" xml:space="preserve"> TEXT(AVERAGE(F20:F24),"0.0000") &amp; "±" &amp; TEXT(_xlfn.STDEV.S(F20:F24),"0.0000")</f>
        <v>0.9512±0.0169</v>
      </c>
      <c r="G25" t="str">
        <f t="shared" si="3"/>
        <v>0.9519±0.0165</v>
      </c>
      <c r="H25" t="str">
        <f t="shared" si="3"/>
        <v>0.9171±0.0219</v>
      </c>
      <c r="I25" t="str">
        <f t="shared" si="3"/>
        <v>0.9036±0.0299</v>
      </c>
      <c r="J25" t="str">
        <f t="shared" si="3"/>
        <v>0.9541±0.0092</v>
      </c>
      <c r="K25" t="str">
        <f t="shared" si="3"/>
        <v>0.9100±0.0186</v>
      </c>
    </row>
    <row r="26" spans="1:11" x14ac:dyDescent="0.4">
      <c r="A26" s="2" t="s">
        <v>17</v>
      </c>
      <c r="B26" s="1" t="s">
        <v>16</v>
      </c>
      <c r="C26" s="1">
        <v>42</v>
      </c>
      <c r="D26" s="4">
        <v>28</v>
      </c>
      <c r="E26" s="4">
        <v>0.98650000000000004</v>
      </c>
      <c r="F26" s="4">
        <v>0.99060000000000004</v>
      </c>
      <c r="G26" s="4">
        <v>0.99060000000000004</v>
      </c>
      <c r="H26" s="4">
        <v>0.94950000000000001</v>
      </c>
      <c r="I26" s="4">
        <v>0.96909999999999996</v>
      </c>
      <c r="J26" s="4">
        <v>0.94950000000000001</v>
      </c>
      <c r="K26" s="4">
        <v>0.95920000000000005</v>
      </c>
    </row>
    <row r="27" spans="1:11" x14ac:dyDescent="0.4">
      <c r="A27" s="2" t="s">
        <v>17</v>
      </c>
      <c r="B27" s="1" t="s">
        <v>16</v>
      </c>
      <c r="C27" s="1">
        <v>1234</v>
      </c>
      <c r="D27" s="4">
        <v>27</v>
      </c>
      <c r="E27" s="4">
        <v>0.98699999999999999</v>
      </c>
      <c r="F27" s="4">
        <v>0.99170000000000003</v>
      </c>
      <c r="G27" s="4">
        <v>0.99170000000000003</v>
      </c>
      <c r="H27" s="4">
        <v>0.94920000000000004</v>
      </c>
      <c r="I27" s="4">
        <v>0.96389999999999998</v>
      </c>
      <c r="J27" s="4">
        <v>0.94640000000000002</v>
      </c>
      <c r="K27" s="4">
        <v>0.95650000000000002</v>
      </c>
    </row>
    <row r="28" spans="1:11" x14ac:dyDescent="0.4">
      <c r="A28" s="2" t="s">
        <v>17</v>
      </c>
      <c r="B28" s="1" t="s">
        <v>16</v>
      </c>
      <c r="C28" s="1">
        <v>2025</v>
      </c>
      <c r="D28" s="4">
        <v>30</v>
      </c>
      <c r="E28" s="4">
        <v>0.98019999999999996</v>
      </c>
      <c r="F28" s="4">
        <v>0.9869</v>
      </c>
      <c r="G28" s="4">
        <v>0.9869</v>
      </c>
      <c r="H28" s="4">
        <v>0.94869999999999999</v>
      </c>
      <c r="I28" s="4">
        <v>0.9536</v>
      </c>
      <c r="J28" s="4">
        <v>0.94010000000000005</v>
      </c>
      <c r="K28" s="4">
        <v>0.95120000000000005</v>
      </c>
    </row>
    <row r="29" spans="1:11" x14ac:dyDescent="0.4">
      <c r="A29" s="2" t="s">
        <v>17</v>
      </c>
      <c r="B29" s="1" t="s">
        <v>16</v>
      </c>
      <c r="C29" s="1">
        <v>12345</v>
      </c>
      <c r="D29" s="4">
        <v>26</v>
      </c>
      <c r="E29" s="4">
        <v>0.98429999999999995</v>
      </c>
      <c r="F29" s="4">
        <v>0.98880000000000001</v>
      </c>
      <c r="G29" s="4">
        <v>0.98880000000000001</v>
      </c>
      <c r="H29" s="4">
        <v>0.95479999999999998</v>
      </c>
      <c r="I29" s="4">
        <v>0.97940000000000005</v>
      </c>
      <c r="J29" s="4">
        <v>0.95899999999999996</v>
      </c>
      <c r="K29" s="4">
        <v>0.96689999999999998</v>
      </c>
    </row>
    <row r="30" spans="1:11" x14ac:dyDescent="0.4">
      <c r="A30" s="2" t="s">
        <v>17</v>
      </c>
      <c r="B30" s="1" t="s">
        <v>16</v>
      </c>
      <c r="C30" s="1">
        <v>666</v>
      </c>
      <c r="D30" s="4">
        <v>30</v>
      </c>
      <c r="E30" s="4">
        <v>0.98170000000000002</v>
      </c>
      <c r="F30" s="4">
        <v>0.98780000000000001</v>
      </c>
      <c r="G30" s="4">
        <v>0.98780000000000001</v>
      </c>
      <c r="H30" s="4">
        <v>0.94330000000000003</v>
      </c>
      <c r="I30" s="4">
        <v>0.94330000000000003</v>
      </c>
      <c r="J30" s="4">
        <v>0.93059999999999998</v>
      </c>
      <c r="K30" s="4">
        <v>0.94330000000000003</v>
      </c>
    </row>
    <row r="31" spans="1:11" x14ac:dyDescent="0.4">
      <c r="E31" t="str">
        <f xml:space="preserve"> TEXT(AVERAGE(E26:E30),"0.0000") &amp; "±" &amp; TEXT(_xlfn.STDEV.S(E26:E30),"0.0000")</f>
        <v>0.9839±0.0030</v>
      </c>
      <c r="F31" t="str">
        <f t="shared" ref="F31:K31" si="4" xml:space="preserve"> TEXT(AVERAGE(F26:F30),"0.0000") &amp; "±" &amp; TEXT(_xlfn.STDEV.S(F26:F30),"0.0000")</f>
        <v>0.9892±0.0020</v>
      </c>
      <c r="G31" t="str">
        <f t="shared" si="4"/>
        <v>0.9892±0.0020</v>
      </c>
      <c r="H31" t="str">
        <f t="shared" si="4"/>
        <v>0.9491±0.0041</v>
      </c>
      <c r="I31" t="str">
        <f t="shared" si="4"/>
        <v>0.9619±0.0139</v>
      </c>
      <c r="J31" t="str">
        <f t="shared" si="4"/>
        <v>0.9451±0.0106</v>
      </c>
      <c r="K31" t="str">
        <f t="shared" si="4"/>
        <v>0.9554±0.0088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AEE6-AEDC-49AA-B1CC-464D1D19E892}">
  <dimension ref="A1:L31"/>
  <sheetViews>
    <sheetView workbookViewId="0">
      <selection activeCell="D2" sqref="D2:K6"/>
    </sheetView>
  </sheetViews>
  <sheetFormatPr defaultRowHeight="18.75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x14ac:dyDescent="0.4">
      <c r="A2" s="3" t="s">
        <v>18</v>
      </c>
      <c r="B2" s="1" t="s">
        <v>12</v>
      </c>
      <c r="C2" s="1">
        <v>42</v>
      </c>
      <c r="D2" s="4">
        <v>11</v>
      </c>
      <c r="E2" s="4">
        <v>0.88919999999999999</v>
      </c>
      <c r="F2" s="4">
        <v>0.87390000000000001</v>
      </c>
      <c r="G2" s="4">
        <v>0.87419999999999998</v>
      </c>
      <c r="H2" s="4">
        <v>0.75509999999999999</v>
      </c>
      <c r="I2" s="4">
        <v>0.88419999999999999</v>
      </c>
      <c r="J2" s="4">
        <v>0.80869999999999997</v>
      </c>
      <c r="K2" s="4">
        <v>0.8145</v>
      </c>
      <c r="L2" s="4"/>
    </row>
    <row r="3" spans="1:12" x14ac:dyDescent="0.4">
      <c r="A3" s="3" t="s">
        <v>18</v>
      </c>
      <c r="B3" s="1" t="s">
        <v>12</v>
      </c>
      <c r="C3" s="1">
        <v>1234</v>
      </c>
      <c r="D3" s="4">
        <v>22</v>
      </c>
      <c r="E3" s="4">
        <v>0.89400000000000002</v>
      </c>
      <c r="F3" s="4">
        <v>0.87639999999999996</v>
      </c>
      <c r="G3" s="4">
        <v>0.87670000000000003</v>
      </c>
      <c r="H3" s="4">
        <v>0.79379999999999995</v>
      </c>
      <c r="I3" s="4">
        <v>0.8105</v>
      </c>
      <c r="J3" s="4">
        <v>0.81</v>
      </c>
      <c r="K3" s="4">
        <v>0.80210000000000004</v>
      </c>
      <c r="L3" s="4"/>
    </row>
    <row r="4" spans="1:12" x14ac:dyDescent="0.4">
      <c r="A4" s="3" t="s">
        <v>18</v>
      </c>
      <c r="B4" s="1" t="s">
        <v>12</v>
      </c>
      <c r="C4" s="1">
        <v>2025</v>
      </c>
      <c r="D4" s="4">
        <v>25</v>
      </c>
      <c r="E4" s="4">
        <v>0.89190000000000003</v>
      </c>
      <c r="F4" s="4">
        <v>0.88290000000000002</v>
      </c>
      <c r="G4" s="4">
        <v>0.8831</v>
      </c>
      <c r="H4" s="4">
        <v>0.83089999999999997</v>
      </c>
      <c r="I4" s="4">
        <v>0.73680000000000001</v>
      </c>
      <c r="J4" s="4">
        <v>0.80369999999999997</v>
      </c>
      <c r="K4" s="4">
        <v>0.78100000000000003</v>
      </c>
      <c r="L4" s="4"/>
    </row>
    <row r="5" spans="1:12" x14ac:dyDescent="0.4">
      <c r="A5" s="3" t="s">
        <v>18</v>
      </c>
      <c r="B5" s="1" t="s">
        <v>12</v>
      </c>
      <c r="C5" s="1">
        <v>12345</v>
      </c>
      <c r="D5" s="4">
        <v>18</v>
      </c>
      <c r="E5" s="4">
        <v>0.89670000000000005</v>
      </c>
      <c r="F5" s="4">
        <v>0.88180000000000003</v>
      </c>
      <c r="G5" s="4">
        <v>0.8821</v>
      </c>
      <c r="H5" s="4">
        <v>0.77800000000000002</v>
      </c>
      <c r="I5" s="4">
        <v>0.8579</v>
      </c>
      <c r="J5" s="4">
        <v>0.81630000000000003</v>
      </c>
      <c r="K5" s="4">
        <v>0.81599999999999995</v>
      </c>
      <c r="L5" s="4"/>
    </row>
    <row r="6" spans="1:12" x14ac:dyDescent="0.4">
      <c r="A6" s="3" t="s">
        <v>18</v>
      </c>
      <c r="B6" s="1" t="s">
        <v>12</v>
      </c>
      <c r="C6" s="1">
        <v>666</v>
      </c>
      <c r="D6" s="4">
        <v>11</v>
      </c>
      <c r="E6" s="4">
        <v>0.8962</v>
      </c>
      <c r="F6" s="4">
        <v>0.87629999999999997</v>
      </c>
      <c r="G6" s="4">
        <v>0.87660000000000005</v>
      </c>
      <c r="H6" s="4">
        <v>0.80100000000000005</v>
      </c>
      <c r="I6" s="4">
        <v>0.82630000000000003</v>
      </c>
      <c r="J6" s="4">
        <v>0.82</v>
      </c>
      <c r="K6" s="4">
        <v>0.8135</v>
      </c>
      <c r="L6" s="4"/>
    </row>
    <row r="7" spans="1:12" x14ac:dyDescent="0.4">
      <c r="A7" s="1"/>
      <c r="B7" s="1"/>
      <c r="C7" s="1"/>
      <c r="D7" s="1"/>
      <c r="E7" t="str">
        <f xml:space="preserve"> TEXT(AVERAGE(E2:E6),"0.0000") &amp; "±" &amp; TEXT(_xlfn.STDEV.S(E2:E6),"0.0000")</f>
        <v>0.8936±0.0031</v>
      </c>
      <c r="F7" t="str">
        <f t="shared" ref="F7:K7" si="0" xml:space="preserve"> TEXT(AVERAGE(F2:F6),"0.0000") &amp; "±" &amp; TEXT(_xlfn.STDEV.S(F2:F6),"0.0000")</f>
        <v>0.8783±0.0039</v>
      </c>
      <c r="G7" t="str">
        <f t="shared" si="0"/>
        <v>0.8785±0.0039</v>
      </c>
      <c r="H7" t="str">
        <f t="shared" si="0"/>
        <v>0.7918±0.0281</v>
      </c>
      <c r="I7" t="str">
        <f t="shared" si="0"/>
        <v>0.8231±0.0560</v>
      </c>
      <c r="J7" t="str">
        <f t="shared" si="0"/>
        <v>0.8117±0.0064</v>
      </c>
      <c r="K7" t="str">
        <f t="shared" si="0"/>
        <v>0.8054±0.0147</v>
      </c>
    </row>
    <row r="8" spans="1:12" x14ac:dyDescent="0.4">
      <c r="A8" s="3" t="s">
        <v>18</v>
      </c>
      <c r="B8" s="1" t="s">
        <v>13</v>
      </c>
      <c r="C8" s="1">
        <v>42</v>
      </c>
      <c r="D8" s="4">
        <v>21</v>
      </c>
      <c r="E8" s="4">
        <v>0.87160000000000004</v>
      </c>
      <c r="F8" s="4">
        <v>0.88029999999999997</v>
      </c>
      <c r="G8" s="4">
        <v>0.88039999999999996</v>
      </c>
      <c r="H8" s="4">
        <v>0.74970000000000003</v>
      </c>
      <c r="I8" s="4">
        <v>0.83909999999999996</v>
      </c>
      <c r="J8" s="4">
        <v>0.78120000000000001</v>
      </c>
      <c r="K8" s="4">
        <v>0.79190000000000005</v>
      </c>
      <c r="L8" s="4"/>
    </row>
    <row r="9" spans="1:12" x14ac:dyDescent="0.4">
      <c r="A9" s="3" t="s">
        <v>18</v>
      </c>
      <c r="B9" s="1" t="s">
        <v>13</v>
      </c>
      <c r="C9" s="1">
        <v>1234</v>
      </c>
      <c r="D9" s="4">
        <v>22</v>
      </c>
      <c r="E9" s="4">
        <v>0.87270000000000003</v>
      </c>
      <c r="F9" s="4">
        <v>0.87719999999999998</v>
      </c>
      <c r="G9" s="4">
        <v>0.87729999999999997</v>
      </c>
      <c r="H9" s="4">
        <v>0.76390000000000002</v>
      </c>
      <c r="I9" s="4">
        <v>0.82120000000000004</v>
      </c>
      <c r="J9" s="4">
        <v>0.7853</v>
      </c>
      <c r="K9" s="4">
        <v>0.79149999999999998</v>
      </c>
      <c r="L9" s="4"/>
    </row>
    <row r="10" spans="1:12" x14ac:dyDescent="0.4">
      <c r="A10" s="3" t="s">
        <v>18</v>
      </c>
      <c r="B10" s="1" t="s">
        <v>13</v>
      </c>
      <c r="C10" s="1">
        <v>2025</v>
      </c>
      <c r="D10" s="4">
        <v>18</v>
      </c>
      <c r="E10" s="4">
        <v>0.88060000000000005</v>
      </c>
      <c r="F10" s="4">
        <v>0.8871</v>
      </c>
      <c r="G10" s="4">
        <v>0.88719999999999999</v>
      </c>
      <c r="H10" s="4">
        <v>0.80359999999999998</v>
      </c>
      <c r="I10" s="4">
        <v>0.80930000000000002</v>
      </c>
      <c r="J10" s="4">
        <v>0.80720000000000003</v>
      </c>
      <c r="K10" s="4">
        <v>0.80640000000000001</v>
      </c>
      <c r="L10" s="4"/>
    </row>
    <row r="11" spans="1:12" x14ac:dyDescent="0.4">
      <c r="A11" s="3" t="s">
        <v>18</v>
      </c>
      <c r="B11" s="1" t="s">
        <v>13</v>
      </c>
      <c r="C11" s="1">
        <v>12345</v>
      </c>
      <c r="D11" s="4">
        <v>21</v>
      </c>
      <c r="E11" s="4">
        <v>0.87760000000000005</v>
      </c>
      <c r="F11" s="4">
        <v>0.88180000000000003</v>
      </c>
      <c r="G11" s="4">
        <v>0.88190000000000002</v>
      </c>
      <c r="H11" s="4">
        <v>0.72430000000000005</v>
      </c>
      <c r="I11" s="4">
        <v>0.87370000000000003</v>
      </c>
      <c r="J11" s="4">
        <v>0.77229999999999999</v>
      </c>
      <c r="K11" s="4">
        <v>0.79200000000000004</v>
      </c>
      <c r="L11" s="4"/>
    </row>
    <row r="12" spans="1:12" x14ac:dyDescent="0.4">
      <c r="A12" s="3" t="s">
        <v>18</v>
      </c>
      <c r="B12" s="1" t="s">
        <v>13</v>
      </c>
      <c r="C12" s="1">
        <v>666</v>
      </c>
      <c r="D12" s="4">
        <v>20</v>
      </c>
      <c r="E12" s="4">
        <v>0.87129999999999996</v>
      </c>
      <c r="F12" s="4">
        <v>0.87019999999999997</v>
      </c>
      <c r="G12" s="4">
        <v>0.87029999999999996</v>
      </c>
      <c r="H12" s="4">
        <v>0.79569999999999996</v>
      </c>
      <c r="I12" s="4">
        <v>0.79859999999999998</v>
      </c>
      <c r="J12" s="4">
        <v>0.79830000000000001</v>
      </c>
      <c r="K12" s="4">
        <v>0.79710000000000003</v>
      </c>
      <c r="L12" s="4"/>
    </row>
    <row r="13" spans="1:12" x14ac:dyDescent="0.4">
      <c r="A13" s="1"/>
      <c r="B13" s="1"/>
      <c r="C13" s="1"/>
      <c r="D13" s="1"/>
      <c r="E13" t="str">
        <f t="shared" ref="E13:K13" si="1" xml:space="preserve"> TEXT(AVERAGE(E8:E12),"0.0000") &amp; "±" &amp; TEXT(_xlfn.STDEV.S(E8:E12),"0.0000")</f>
        <v>0.8748±0.0041</v>
      </c>
      <c r="F13" t="str">
        <f t="shared" si="1"/>
        <v>0.8793±0.0062</v>
      </c>
      <c r="G13" t="str">
        <f t="shared" si="1"/>
        <v>0.8794±0.0062</v>
      </c>
      <c r="H13" t="str">
        <f t="shared" si="1"/>
        <v>0.7674±0.0328</v>
      </c>
      <c r="I13" t="str">
        <f t="shared" si="1"/>
        <v>0.8284±0.0295</v>
      </c>
      <c r="J13" t="str">
        <f t="shared" si="1"/>
        <v>0.7889±0.0139</v>
      </c>
      <c r="K13" t="str">
        <f t="shared" si="1"/>
        <v>0.7958±0.0064</v>
      </c>
    </row>
    <row r="14" spans="1:12" x14ac:dyDescent="0.4">
      <c r="A14" s="3" t="s">
        <v>18</v>
      </c>
      <c r="B14" s="1" t="s">
        <v>14</v>
      </c>
      <c r="C14" s="1">
        <v>42</v>
      </c>
      <c r="D14" s="4">
        <v>29</v>
      </c>
      <c r="E14" s="4">
        <v>0.73209999999999997</v>
      </c>
      <c r="F14" s="4">
        <v>0.75739999999999996</v>
      </c>
      <c r="G14" s="4">
        <v>0.75770000000000004</v>
      </c>
      <c r="H14" s="4">
        <v>0.72450000000000003</v>
      </c>
      <c r="I14" s="4">
        <v>0.73740000000000006</v>
      </c>
      <c r="J14" s="4">
        <v>0.68520000000000003</v>
      </c>
      <c r="K14" s="4">
        <v>0.73089999999999999</v>
      </c>
      <c r="L14" s="4"/>
    </row>
    <row r="15" spans="1:12" x14ac:dyDescent="0.4">
      <c r="A15" s="3" t="s">
        <v>18</v>
      </c>
      <c r="B15" s="1" t="s">
        <v>14</v>
      </c>
      <c r="C15" s="1">
        <v>1234</v>
      </c>
      <c r="D15" s="4">
        <v>10</v>
      </c>
      <c r="E15" s="4">
        <v>0.75580000000000003</v>
      </c>
      <c r="F15" s="4">
        <v>0.77739999999999998</v>
      </c>
      <c r="G15" s="4">
        <v>0.77769999999999995</v>
      </c>
      <c r="H15" s="4">
        <v>0.747</v>
      </c>
      <c r="I15" s="4">
        <v>0.74329999999999996</v>
      </c>
      <c r="J15" s="4">
        <v>0.70520000000000005</v>
      </c>
      <c r="K15" s="4">
        <v>0.74519999999999997</v>
      </c>
      <c r="L15" s="4"/>
    </row>
    <row r="16" spans="1:12" x14ac:dyDescent="0.4">
      <c r="A16" s="3" t="s">
        <v>18</v>
      </c>
      <c r="B16" s="1" t="s">
        <v>14</v>
      </c>
      <c r="C16" s="1">
        <v>2025</v>
      </c>
      <c r="D16" s="4">
        <v>20</v>
      </c>
      <c r="E16" s="4">
        <v>0.75660000000000005</v>
      </c>
      <c r="F16" s="4">
        <v>0.77600000000000002</v>
      </c>
      <c r="G16" s="4">
        <v>0.77629999999999999</v>
      </c>
      <c r="H16" s="4">
        <v>0.70909999999999995</v>
      </c>
      <c r="I16" s="4">
        <v>0.85189999999999999</v>
      </c>
      <c r="J16" s="4">
        <v>0.71150000000000002</v>
      </c>
      <c r="K16" s="4">
        <v>0.77400000000000002</v>
      </c>
      <c r="L16" s="4"/>
    </row>
    <row r="17" spans="1:12" x14ac:dyDescent="0.4">
      <c r="A17" s="3" t="s">
        <v>18</v>
      </c>
      <c r="B17" s="1" t="s">
        <v>14</v>
      </c>
      <c r="C17" s="1">
        <v>12345</v>
      </c>
      <c r="D17" s="4">
        <v>13</v>
      </c>
      <c r="E17" s="4">
        <v>0.73029999999999995</v>
      </c>
      <c r="F17" s="4">
        <v>0.75660000000000005</v>
      </c>
      <c r="G17" s="4">
        <v>0.75700000000000001</v>
      </c>
      <c r="H17" s="4">
        <v>0.70569999999999999</v>
      </c>
      <c r="I17" s="4">
        <v>0.79759999999999998</v>
      </c>
      <c r="J17" s="4">
        <v>0.68979999999999997</v>
      </c>
      <c r="K17" s="4">
        <v>0.74880000000000002</v>
      </c>
      <c r="L17" s="4"/>
    </row>
    <row r="18" spans="1:12" x14ac:dyDescent="0.4">
      <c r="A18" s="3" t="s">
        <v>18</v>
      </c>
      <c r="B18" s="1" t="s">
        <v>14</v>
      </c>
      <c r="C18" s="1">
        <v>666</v>
      </c>
      <c r="D18" s="4">
        <v>11</v>
      </c>
      <c r="E18" s="4">
        <v>0.76919999999999999</v>
      </c>
      <c r="F18" s="4">
        <v>0.78</v>
      </c>
      <c r="G18" s="4">
        <v>0.78090000000000004</v>
      </c>
      <c r="H18" s="4">
        <v>0.67959999999999998</v>
      </c>
      <c r="I18" s="4">
        <v>0.91910000000000003</v>
      </c>
      <c r="J18" s="4">
        <v>0.70179999999999998</v>
      </c>
      <c r="K18" s="4">
        <v>0.78139999999999998</v>
      </c>
      <c r="L18" s="4"/>
    </row>
    <row r="19" spans="1:12" x14ac:dyDescent="0.4">
      <c r="A19" s="1"/>
      <c r="B19" s="1"/>
      <c r="C19" s="1"/>
      <c r="D19" s="1"/>
      <c r="E19" t="str">
        <f xml:space="preserve"> TEXT(AVERAGE(E14:E18),"0.0000") &amp; "±" &amp; TEXT(_xlfn.STDEV.S(E14:E18),"0.0000")</f>
        <v>0.7488±0.0169</v>
      </c>
      <c r="F19" t="str">
        <f t="shared" ref="F19:K19" si="2" xml:space="preserve"> TEXT(AVERAGE(F14:F18),"0.0000") &amp; "±" &amp; TEXT(_xlfn.STDEV.S(F14:F18),"0.0000")</f>
        <v>0.7695±0.0115</v>
      </c>
      <c r="G19" t="str">
        <f t="shared" si="2"/>
        <v>0.7699±0.0116</v>
      </c>
      <c r="H19" t="str">
        <f t="shared" si="2"/>
        <v>0.7132±0.0249</v>
      </c>
      <c r="I19" t="str">
        <f t="shared" si="2"/>
        <v>0.8099±0.0767</v>
      </c>
      <c r="J19" t="str">
        <f t="shared" si="2"/>
        <v>0.6987±0.0109</v>
      </c>
      <c r="K19" t="str">
        <f t="shared" si="2"/>
        <v>0.7561±0.0210</v>
      </c>
    </row>
    <row r="20" spans="1:12" x14ac:dyDescent="0.4">
      <c r="A20" s="3" t="s">
        <v>18</v>
      </c>
      <c r="B20" s="1" t="s">
        <v>15</v>
      </c>
      <c r="C20" s="1">
        <v>42</v>
      </c>
      <c r="D20" s="4">
        <v>26</v>
      </c>
      <c r="E20" s="4">
        <v>0.88180000000000003</v>
      </c>
      <c r="F20" s="4">
        <v>0.87260000000000004</v>
      </c>
      <c r="G20" s="4">
        <v>0.87309999999999999</v>
      </c>
      <c r="H20" s="4">
        <v>0.78339999999999999</v>
      </c>
      <c r="I20" s="4">
        <v>0.83109999999999995</v>
      </c>
      <c r="J20" s="4">
        <v>0.82850000000000001</v>
      </c>
      <c r="K20" s="4">
        <v>0.80659999999999998</v>
      </c>
      <c r="L20" s="4"/>
    </row>
    <row r="21" spans="1:12" x14ac:dyDescent="0.4">
      <c r="A21" s="3" t="s">
        <v>18</v>
      </c>
      <c r="B21" s="1" t="s">
        <v>15</v>
      </c>
      <c r="C21" s="1">
        <v>1234</v>
      </c>
      <c r="D21" s="4">
        <v>19</v>
      </c>
      <c r="E21" s="4">
        <v>0.86209999999999998</v>
      </c>
      <c r="F21" s="4">
        <v>0.85309999999999997</v>
      </c>
      <c r="G21" s="4">
        <v>0.85370000000000001</v>
      </c>
      <c r="H21" s="4">
        <v>0.73580000000000001</v>
      </c>
      <c r="I21" s="4">
        <v>0.79049999999999998</v>
      </c>
      <c r="J21" s="4">
        <v>0.78779999999999994</v>
      </c>
      <c r="K21" s="4">
        <v>0.76219999999999999</v>
      </c>
      <c r="L21" s="4"/>
    </row>
    <row r="22" spans="1:12" x14ac:dyDescent="0.4">
      <c r="A22" s="3" t="s">
        <v>18</v>
      </c>
      <c r="B22" s="1" t="s">
        <v>15</v>
      </c>
      <c r="C22" s="1">
        <v>2025</v>
      </c>
      <c r="D22" s="4">
        <v>18</v>
      </c>
      <c r="E22" s="4">
        <v>0.86960000000000004</v>
      </c>
      <c r="F22" s="4">
        <v>0.85589999999999999</v>
      </c>
      <c r="G22" s="4">
        <v>0.85660000000000003</v>
      </c>
      <c r="H22" s="4">
        <v>0.79020000000000001</v>
      </c>
      <c r="I22" s="4">
        <v>0.76349999999999996</v>
      </c>
      <c r="J22" s="4">
        <v>0.81100000000000005</v>
      </c>
      <c r="K22" s="4">
        <v>0.77659999999999996</v>
      </c>
      <c r="L22" s="4"/>
    </row>
    <row r="23" spans="1:12" x14ac:dyDescent="0.4">
      <c r="A23" s="3" t="s">
        <v>18</v>
      </c>
      <c r="B23" s="1" t="s">
        <v>15</v>
      </c>
      <c r="C23" s="1">
        <v>12345</v>
      </c>
      <c r="D23" s="4">
        <v>30</v>
      </c>
      <c r="E23" s="4">
        <v>0.87570000000000003</v>
      </c>
      <c r="F23" s="4">
        <v>0.85750000000000004</v>
      </c>
      <c r="G23" s="4">
        <v>0.85809999999999997</v>
      </c>
      <c r="H23" s="4">
        <v>0.78669999999999995</v>
      </c>
      <c r="I23" s="4">
        <v>0.79730000000000001</v>
      </c>
      <c r="J23" s="4">
        <v>0.81979999999999997</v>
      </c>
      <c r="K23" s="4">
        <v>0.79190000000000005</v>
      </c>
      <c r="L23" s="4"/>
    </row>
    <row r="24" spans="1:12" x14ac:dyDescent="0.4">
      <c r="A24" s="3" t="s">
        <v>18</v>
      </c>
      <c r="B24" s="1" t="s">
        <v>15</v>
      </c>
      <c r="C24" s="1">
        <v>666</v>
      </c>
      <c r="D24" s="4">
        <v>26</v>
      </c>
      <c r="E24" s="4">
        <v>0.87980000000000003</v>
      </c>
      <c r="F24" s="4">
        <v>0.85350000000000004</v>
      </c>
      <c r="G24" s="4">
        <v>0.85429999999999995</v>
      </c>
      <c r="H24" s="4">
        <v>0.75460000000000005</v>
      </c>
      <c r="I24" s="4">
        <v>0.83109999999999995</v>
      </c>
      <c r="J24" s="4">
        <v>0.81100000000000005</v>
      </c>
      <c r="K24" s="4">
        <v>0.79100000000000004</v>
      </c>
      <c r="L24" s="4"/>
    </row>
    <row r="25" spans="1:12" x14ac:dyDescent="0.4">
      <c r="A25" s="1"/>
      <c r="B25" s="1"/>
      <c r="C25" s="1"/>
      <c r="D25" s="1"/>
      <c r="E25" t="str">
        <f xml:space="preserve"> TEXT(AVERAGE(E20:E24),"0.0000") &amp; "±" &amp; TEXT(_xlfn.STDEV.S(E20:E24),"0.0000")</f>
        <v>0.8738±0.0080</v>
      </c>
      <c r="F25" t="str">
        <f t="shared" ref="F25:K25" si="3" xml:space="preserve"> TEXT(AVERAGE(F20:F24),"0.0000") &amp; "±" &amp; TEXT(_xlfn.STDEV.S(F20:F24),"0.0000")</f>
        <v>0.8585±0.0081</v>
      </c>
      <c r="G25" t="str">
        <f t="shared" si="3"/>
        <v>0.8592±0.0080</v>
      </c>
      <c r="H25" t="str">
        <f t="shared" si="3"/>
        <v>0.7701±0.0238</v>
      </c>
      <c r="I25" t="str">
        <f t="shared" si="3"/>
        <v>0.8027±0.0288</v>
      </c>
      <c r="J25" t="str">
        <f t="shared" si="3"/>
        <v>0.8116±0.0152</v>
      </c>
      <c r="K25" t="str">
        <f t="shared" si="3"/>
        <v>0.7857±0.0169</v>
      </c>
    </row>
    <row r="26" spans="1:12" x14ac:dyDescent="0.4">
      <c r="A26" s="3" t="s">
        <v>18</v>
      </c>
      <c r="B26" s="1" t="s">
        <v>16</v>
      </c>
      <c r="C26" s="1">
        <v>42</v>
      </c>
      <c r="D26" s="4">
        <v>17</v>
      </c>
      <c r="E26" s="4">
        <v>0.75949999999999995</v>
      </c>
      <c r="F26" s="4">
        <v>0.74639999999999995</v>
      </c>
      <c r="G26" s="4">
        <v>0.74850000000000005</v>
      </c>
      <c r="H26" s="4">
        <v>0.71899999999999997</v>
      </c>
      <c r="I26" s="4">
        <v>0.71309999999999996</v>
      </c>
      <c r="J26" s="4">
        <v>0.7026</v>
      </c>
      <c r="K26" s="4">
        <v>0.71599999999999997</v>
      </c>
      <c r="L26" s="4"/>
    </row>
    <row r="27" spans="1:12" x14ac:dyDescent="0.4">
      <c r="A27" s="3" t="s">
        <v>18</v>
      </c>
      <c r="B27" s="1" t="s">
        <v>16</v>
      </c>
      <c r="C27" s="1">
        <v>1234</v>
      </c>
      <c r="D27" s="4">
        <v>10</v>
      </c>
      <c r="E27" s="4">
        <v>0.75190000000000001</v>
      </c>
      <c r="F27" s="4">
        <v>0.75109999999999999</v>
      </c>
      <c r="G27" s="4">
        <v>0.75339999999999996</v>
      </c>
      <c r="H27" s="4">
        <v>0.6452</v>
      </c>
      <c r="I27" s="4">
        <v>0.81969999999999998</v>
      </c>
      <c r="J27" s="4">
        <v>0.66810000000000003</v>
      </c>
      <c r="K27" s="4">
        <v>0.72199999999999998</v>
      </c>
      <c r="L27" s="4"/>
    </row>
    <row r="28" spans="1:12" x14ac:dyDescent="0.4">
      <c r="A28" s="3" t="s">
        <v>18</v>
      </c>
      <c r="B28" s="1" t="s">
        <v>16</v>
      </c>
      <c r="C28" s="1">
        <v>2025</v>
      </c>
      <c r="D28" s="4">
        <v>30</v>
      </c>
      <c r="E28" s="4">
        <v>0.69120000000000004</v>
      </c>
      <c r="F28" s="4">
        <v>0.66349999999999998</v>
      </c>
      <c r="G28" s="4">
        <v>0.66990000000000005</v>
      </c>
      <c r="H28" s="4">
        <v>0.65080000000000005</v>
      </c>
      <c r="I28" s="4">
        <v>0.67210000000000003</v>
      </c>
      <c r="J28" s="4">
        <v>0.63790000000000002</v>
      </c>
      <c r="K28" s="4">
        <v>0.6613</v>
      </c>
      <c r="L28" s="4"/>
    </row>
    <row r="29" spans="1:12" x14ac:dyDescent="0.4">
      <c r="A29" s="3" t="s">
        <v>18</v>
      </c>
      <c r="B29" s="1" t="s">
        <v>16</v>
      </c>
      <c r="C29" s="1">
        <v>12345</v>
      </c>
      <c r="D29" s="4">
        <v>11</v>
      </c>
      <c r="E29" s="4">
        <v>0.76</v>
      </c>
      <c r="F29" s="4">
        <v>0.75339999999999996</v>
      </c>
      <c r="G29" s="4">
        <v>0.75570000000000004</v>
      </c>
      <c r="H29" s="4">
        <v>0.66669999999999996</v>
      </c>
      <c r="I29" s="4">
        <v>0.80330000000000001</v>
      </c>
      <c r="J29" s="4">
        <v>0.68530000000000002</v>
      </c>
      <c r="K29" s="4">
        <v>0.72860000000000003</v>
      </c>
      <c r="L29" s="4"/>
    </row>
    <row r="30" spans="1:12" x14ac:dyDescent="0.4">
      <c r="A30" s="3" t="s">
        <v>18</v>
      </c>
      <c r="B30" s="1" t="s">
        <v>16</v>
      </c>
      <c r="C30" s="1">
        <v>666</v>
      </c>
      <c r="D30" s="4">
        <v>15</v>
      </c>
      <c r="E30" s="4">
        <v>0.74409999999999998</v>
      </c>
      <c r="F30" s="4">
        <v>0.73939999999999995</v>
      </c>
      <c r="G30" s="4">
        <v>0.74270000000000003</v>
      </c>
      <c r="H30" s="4">
        <v>0.66</v>
      </c>
      <c r="I30" s="4">
        <v>0.8115</v>
      </c>
      <c r="J30" s="4">
        <v>0.68100000000000005</v>
      </c>
      <c r="K30" s="4">
        <v>0.72789999999999999</v>
      </c>
      <c r="L30" s="4"/>
    </row>
    <row r="31" spans="1:12" x14ac:dyDescent="0.4">
      <c r="E31" t="str">
        <f xml:space="preserve"> TEXT(AVERAGE(E26:E30),"0.0000") &amp; "±" &amp; TEXT(_xlfn.STDEV.S(E26:E30),"0.0000")</f>
        <v>0.7413±0.0288</v>
      </c>
      <c r="F31" t="str">
        <f t="shared" ref="F31:K31" si="4" xml:space="preserve"> TEXT(AVERAGE(F26:F30),"0.0000") &amp; "±" &amp; TEXT(_xlfn.STDEV.S(F26:F30),"0.0000")</f>
        <v>0.7308±0.0380</v>
      </c>
      <c r="G31" t="str">
        <f t="shared" si="4"/>
        <v>0.7340±0.0362</v>
      </c>
      <c r="H31" t="str">
        <f t="shared" si="4"/>
        <v>0.6683±0.0295</v>
      </c>
      <c r="I31" t="str">
        <f t="shared" si="4"/>
        <v>0.7639±0.0670</v>
      </c>
      <c r="J31" t="str">
        <f t="shared" si="4"/>
        <v>0.6750±0.0241</v>
      </c>
      <c r="K31" t="str">
        <f t="shared" si="4"/>
        <v>0.7112±0.0283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5180-57AC-4BB6-B1CC-6E162588BEA5}">
  <dimension ref="A1:K31"/>
  <sheetViews>
    <sheetView workbookViewId="0">
      <selection activeCell="D2" sqref="D2:K6"/>
    </sheetView>
  </sheetViews>
  <sheetFormatPr defaultRowHeight="18.75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3" t="s">
        <v>19</v>
      </c>
      <c r="B2" s="1" t="s">
        <v>12</v>
      </c>
      <c r="C2" s="1">
        <v>42</v>
      </c>
      <c r="D2" s="4">
        <v>26</v>
      </c>
      <c r="E2" s="4">
        <v>0.95469999999999999</v>
      </c>
      <c r="F2" s="4">
        <v>0.94630000000000003</v>
      </c>
      <c r="G2" s="4">
        <v>0.94640000000000002</v>
      </c>
      <c r="H2" s="4">
        <v>0.90400000000000003</v>
      </c>
      <c r="I2" s="4">
        <v>0.8861</v>
      </c>
      <c r="J2" s="4">
        <v>0.90129999999999999</v>
      </c>
      <c r="K2" s="4">
        <v>0.89500000000000002</v>
      </c>
    </row>
    <row r="3" spans="1:11" x14ac:dyDescent="0.4">
      <c r="A3" s="3" t="s">
        <v>19</v>
      </c>
      <c r="B3" s="1" t="s">
        <v>12</v>
      </c>
      <c r="C3" s="1">
        <v>1234</v>
      </c>
      <c r="D3" s="4">
        <v>13</v>
      </c>
      <c r="E3" s="4">
        <v>0.95689999999999997</v>
      </c>
      <c r="F3" s="4">
        <v>0.95069999999999999</v>
      </c>
      <c r="G3" s="4">
        <v>0.95079999999999998</v>
      </c>
      <c r="H3" s="4">
        <v>0.87319999999999998</v>
      </c>
      <c r="I3" s="4">
        <v>0.90349999999999997</v>
      </c>
      <c r="J3" s="4">
        <v>0.89190000000000003</v>
      </c>
      <c r="K3" s="4">
        <v>0.8881</v>
      </c>
    </row>
    <row r="4" spans="1:11" x14ac:dyDescent="0.4">
      <c r="A4" s="3" t="s">
        <v>19</v>
      </c>
      <c r="B4" s="1" t="s">
        <v>12</v>
      </c>
      <c r="C4" s="1">
        <v>2025</v>
      </c>
      <c r="D4" s="4">
        <v>19</v>
      </c>
      <c r="E4" s="4">
        <v>0.95599999999999996</v>
      </c>
      <c r="F4" s="4">
        <v>0.94510000000000005</v>
      </c>
      <c r="G4" s="4">
        <v>0.94520000000000004</v>
      </c>
      <c r="H4" s="4">
        <v>0.84789999999999999</v>
      </c>
      <c r="I4" s="4">
        <v>0.93810000000000004</v>
      </c>
      <c r="J4" s="4">
        <v>0.89070000000000005</v>
      </c>
      <c r="K4" s="4">
        <v>0.89070000000000005</v>
      </c>
    </row>
    <row r="5" spans="1:11" x14ac:dyDescent="0.4">
      <c r="A5" s="3" t="s">
        <v>19</v>
      </c>
      <c r="B5" s="1" t="s">
        <v>12</v>
      </c>
      <c r="C5" s="1">
        <v>12345</v>
      </c>
      <c r="D5" s="4">
        <v>15</v>
      </c>
      <c r="E5" s="4">
        <v>0.95699999999999996</v>
      </c>
      <c r="F5" s="4">
        <v>0.95150000000000001</v>
      </c>
      <c r="G5" s="4">
        <v>0.9516</v>
      </c>
      <c r="H5" s="4">
        <v>0.87350000000000005</v>
      </c>
      <c r="I5" s="4">
        <v>0.92330000000000001</v>
      </c>
      <c r="J5" s="4">
        <v>0.90010000000000001</v>
      </c>
      <c r="K5" s="4">
        <v>0.89770000000000005</v>
      </c>
    </row>
    <row r="6" spans="1:11" x14ac:dyDescent="0.4">
      <c r="A6" s="3" t="s">
        <v>19</v>
      </c>
      <c r="B6" s="1" t="s">
        <v>12</v>
      </c>
      <c r="C6" s="1">
        <v>666</v>
      </c>
      <c r="D6" s="4">
        <v>27</v>
      </c>
      <c r="E6" s="4">
        <v>0.95740000000000003</v>
      </c>
      <c r="F6" s="4">
        <v>0.95140000000000002</v>
      </c>
      <c r="G6" s="4">
        <v>0.95140000000000002</v>
      </c>
      <c r="H6" s="4">
        <v>0.89359999999999995</v>
      </c>
      <c r="I6" s="4">
        <v>0.89359999999999995</v>
      </c>
      <c r="J6" s="4">
        <v>0.89890000000000003</v>
      </c>
      <c r="K6" s="4">
        <v>0.89359999999999995</v>
      </c>
    </row>
    <row r="7" spans="1:11" x14ac:dyDescent="0.4">
      <c r="A7" s="1"/>
      <c r="B7" s="1"/>
      <c r="C7" s="1"/>
      <c r="D7" s="1"/>
      <c r="E7" t="str">
        <f xml:space="preserve"> TEXT(AVERAGE(E2:E6),"0.0000") &amp; "±" &amp; TEXT(_xlfn.STDEV.S(E2:E6),"0.0000")</f>
        <v>0.9564±0.0011</v>
      </c>
      <c r="F7" t="str">
        <f t="shared" ref="F7:K7" si="0" xml:space="preserve"> TEXT(AVERAGE(F2:F6),"0.0000") &amp; "±" &amp; TEXT(_xlfn.STDEV.S(F2:F6),"0.0000")</f>
        <v>0.9490±0.0031</v>
      </c>
      <c r="G7" t="str">
        <f t="shared" si="0"/>
        <v>0.9491±0.0030</v>
      </c>
      <c r="H7" t="str">
        <f t="shared" si="0"/>
        <v>0.8784±0.0216</v>
      </c>
      <c r="I7" t="str">
        <f t="shared" si="0"/>
        <v>0.9089±0.0215</v>
      </c>
      <c r="J7" t="str">
        <f t="shared" si="0"/>
        <v>0.8966±0.0049</v>
      </c>
      <c r="K7" t="str">
        <f t="shared" si="0"/>
        <v>0.8930±0.0037</v>
      </c>
    </row>
    <row r="8" spans="1:11" x14ac:dyDescent="0.4">
      <c r="A8" s="3" t="s">
        <v>19</v>
      </c>
      <c r="B8" s="1" t="s">
        <v>13</v>
      </c>
      <c r="C8" s="1">
        <v>42</v>
      </c>
      <c r="D8" s="4">
        <v>29</v>
      </c>
      <c r="E8" s="4">
        <v>0.95299999999999996</v>
      </c>
      <c r="F8" s="4">
        <v>0.95289999999999997</v>
      </c>
      <c r="G8" s="4">
        <v>0.95289999999999997</v>
      </c>
      <c r="H8" s="4">
        <v>0.8579</v>
      </c>
      <c r="I8" s="4">
        <v>0.90710000000000002</v>
      </c>
      <c r="J8" s="4">
        <v>0.87980000000000003</v>
      </c>
      <c r="K8" s="4">
        <v>0.88180000000000003</v>
      </c>
    </row>
    <row r="9" spans="1:11" x14ac:dyDescent="0.4">
      <c r="A9" s="3" t="s">
        <v>19</v>
      </c>
      <c r="B9" s="1" t="s">
        <v>13</v>
      </c>
      <c r="C9" s="1">
        <v>1234</v>
      </c>
      <c r="D9" s="4">
        <v>27</v>
      </c>
      <c r="E9" s="4">
        <v>0.94479999999999997</v>
      </c>
      <c r="F9" s="4">
        <v>0.94320000000000004</v>
      </c>
      <c r="G9" s="4">
        <v>0.94330000000000003</v>
      </c>
      <c r="H9" s="4">
        <v>0.86080000000000001</v>
      </c>
      <c r="I9" s="4">
        <v>0.89329999999999998</v>
      </c>
      <c r="J9" s="4">
        <v>0.87590000000000001</v>
      </c>
      <c r="K9" s="4">
        <v>0.87680000000000002</v>
      </c>
    </row>
    <row r="10" spans="1:11" x14ac:dyDescent="0.4">
      <c r="A10" s="3" t="s">
        <v>19</v>
      </c>
      <c r="B10" s="1" t="s">
        <v>13</v>
      </c>
      <c r="C10" s="1">
        <v>2025</v>
      </c>
      <c r="D10" s="4">
        <v>18</v>
      </c>
      <c r="E10" s="4">
        <v>0.95179999999999998</v>
      </c>
      <c r="F10" s="4">
        <v>0.94889999999999997</v>
      </c>
      <c r="G10" s="4">
        <v>0.94889999999999997</v>
      </c>
      <c r="H10" s="4">
        <v>0.87380000000000002</v>
      </c>
      <c r="I10" s="4">
        <v>0.90480000000000005</v>
      </c>
      <c r="J10" s="4">
        <v>0.88829999999999998</v>
      </c>
      <c r="K10" s="4">
        <v>0.88900000000000001</v>
      </c>
    </row>
    <row r="11" spans="1:11" x14ac:dyDescent="0.4">
      <c r="A11" s="3" t="s">
        <v>19</v>
      </c>
      <c r="B11" s="1" t="s">
        <v>13</v>
      </c>
      <c r="C11" s="1">
        <v>12345</v>
      </c>
      <c r="D11" s="4">
        <v>17</v>
      </c>
      <c r="E11" s="4">
        <v>0.94489999999999996</v>
      </c>
      <c r="F11" s="4">
        <v>0.94410000000000005</v>
      </c>
      <c r="G11" s="4">
        <v>0.94420000000000004</v>
      </c>
      <c r="H11" s="4">
        <v>0.85870000000000002</v>
      </c>
      <c r="I11" s="4">
        <v>0.89910000000000001</v>
      </c>
      <c r="J11" s="4">
        <v>0.877</v>
      </c>
      <c r="K11" s="4">
        <v>0.87839999999999996</v>
      </c>
    </row>
    <row r="12" spans="1:11" x14ac:dyDescent="0.4">
      <c r="A12" s="3" t="s">
        <v>19</v>
      </c>
      <c r="B12" s="1" t="s">
        <v>13</v>
      </c>
      <c r="C12" s="1">
        <v>666</v>
      </c>
      <c r="D12" s="4">
        <v>26</v>
      </c>
      <c r="E12" s="4">
        <v>0.94810000000000005</v>
      </c>
      <c r="F12" s="4">
        <v>0.94599999999999995</v>
      </c>
      <c r="G12" s="4">
        <v>0.94599999999999995</v>
      </c>
      <c r="H12" s="4">
        <v>0.90229999999999999</v>
      </c>
      <c r="I12" s="4">
        <v>0.85780000000000001</v>
      </c>
      <c r="J12" s="4">
        <v>0.88380000000000003</v>
      </c>
      <c r="K12" s="4">
        <v>0.87949999999999995</v>
      </c>
    </row>
    <row r="13" spans="1:11" x14ac:dyDescent="0.4">
      <c r="A13" s="1"/>
      <c r="B13" s="1"/>
      <c r="C13" s="1"/>
      <c r="D13" s="1"/>
      <c r="E13" t="str">
        <f t="shared" ref="E13:K13" si="1" xml:space="preserve"> TEXT(AVERAGE(E8:E12),"0.0000") &amp; "±" &amp; TEXT(_xlfn.STDEV.S(E8:E12),"0.0000")</f>
        <v>0.9485±0.0038</v>
      </c>
      <c r="F13" t="str">
        <f t="shared" si="1"/>
        <v>0.9470±0.0039</v>
      </c>
      <c r="G13" t="str">
        <f t="shared" si="1"/>
        <v>0.9471±0.0039</v>
      </c>
      <c r="H13" t="str">
        <f t="shared" si="1"/>
        <v>0.8707±0.0188</v>
      </c>
      <c r="I13" t="str">
        <f t="shared" si="1"/>
        <v>0.8924±0.0201</v>
      </c>
      <c r="J13" t="str">
        <f t="shared" si="1"/>
        <v>0.8810±0.0051</v>
      </c>
      <c r="K13" t="str">
        <f t="shared" si="1"/>
        <v>0.8811±0.0048</v>
      </c>
    </row>
    <row r="14" spans="1:11" x14ac:dyDescent="0.4">
      <c r="A14" s="3" t="s">
        <v>19</v>
      </c>
      <c r="B14" s="1" t="s">
        <v>14</v>
      </c>
      <c r="C14" s="1">
        <v>42</v>
      </c>
      <c r="D14" s="4">
        <v>9</v>
      </c>
      <c r="E14" s="4">
        <v>0.72829999999999995</v>
      </c>
      <c r="F14" s="4">
        <v>0.76270000000000004</v>
      </c>
      <c r="G14" s="4">
        <v>0.76290000000000002</v>
      </c>
      <c r="H14" s="4">
        <v>0.64790000000000003</v>
      </c>
      <c r="I14" s="4">
        <v>0.83099999999999996</v>
      </c>
      <c r="J14" s="4">
        <v>0.65869999999999995</v>
      </c>
      <c r="K14" s="4">
        <v>0.72809999999999997</v>
      </c>
    </row>
    <row r="15" spans="1:11" x14ac:dyDescent="0.4">
      <c r="A15" s="3" t="s">
        <v>19</v>
      </c>
      <c r="B15" s="1" t="s">
        <v>14</v>
      </c>
      <c r="C15" s="1">
        <v>1234</v>
      </c>
      <c r="D15" s="4">
        <v>10</v>
      </c>
      <c r="E15" s="4">
        <v>0.76470000000000005</v>
      </c>
      <c r="F15" s="4">
        <v>0.80149999999999999</v>
      </c>
      <c r="G15" s="4">
        <v>0.80169999999999997</v>
      </c>
      <c r="H15" s="4">
        <v>0.62109999999999999</v>
      </c>
      <c r="I15" s="4">
        <v>0.9214</v>
      </c>
      <c r="J15" s="4">
        <v>0.64759999999999995</v>
      </c>
      <c r="K15" s="4">
        <v>0.74199999999999999</v>
      </c>
    </row>
    <row r="16" spans="1:11" x14ac:dyDescent="0.4">
      <c r="A16" s="3" t="s">
        <v>19</v>
      </c>
      <c r="B16" s="1" t="s">
        <v>14</v>
      </c>
      <c r="C16" s="1">
        <v>2025</v>
      </c>
      <c r="D16" s="4">
        <v>9</v>
      </c>
      <c r="E16" s="4">
        <v>0.79849999999999999</v>
      </c>
      <c r="F16" s="4">
        <v>0.81779999999999997</v>
      </c>
      <c r="G16" s="4">
        <v>0.81799999999999995</v>
      </c>
      <c r="H16" s="4">
        <v>0.63100000000000001</v>
      </c>
      <c r="I16" s="4">
        <v>0.92669999999999997</v>
      </c>
      <c r="J16" s="4">
        <v>0.66159999999999997</v>
      </c>
      <c r="K16" s="4">
        <v>0.75070000000000003</v>
      </c>
    </row>
    <row r="17" spans="1:11" x14ac:dyDescent="0.4">
      <c r="A17" s="3" t="s">
        <v>19</v>
      </c>
      <c r="B17" s="1" t="s">
        <v>14</v>
      </c>
      <c r="C17" s="1">
        <v>12345</v>
      </c>
      <c r="D17" s="4">
        <v>5</v>
      </c>
      <c r="E17" s="4">
        <v>0.76049999999999995</v>
      </c>
      <c r="F17" s="4">
        <v>0.78969999999999996</v>
      </c>
      <c r="G17" s="4">
        <v>0.78990000000000005</v>
      </c>
      <c r="H17" s="4">
        <v>0.62319999999999998</v>
      </c>
      <c r="I17" s="4">
        <v>0.91920000000000002</v>
      </c>
      <c r="J17" s="4">
        <v>0.64990000000000003</v>
      </c>
      <c r="K17" s="4">
        <v>0.74280000000000002</v>
      </c>
    </row>
    <row r="18" spans="1:11" x14ac:dyDescent="0.4">
      <c r="A18" s="3" t="s">
        <v>19</v>
      </c>
      <c r="B18" s="1" t="s">
        <v>14</v>
      </c>
      <c r="C18" s="1">
        <v>666</v>
      </c>
      <c r="D18" s="4">
        <v>6</v>
      </c>
      <c r="E18" s="4">
        <v>0.76790000000000003</v>
      </c>
      <c r="F18" s="4">
        <v>0.78159999999999996</v>
      </c>
      <c r="G18" s="4">
        <v>0.78190000000000004</v>
      </c>
      <c r="H18" s="4">
        <v>0.6129</v>
      </c>
      <c r="I18" s="4">
        <v>0.92879999999999996</v>
      </c>
      <c r="J18" s="4">
        <v>0.63819999999999999</v>
      </c>
      <c r="K18" s="4">
        <v>0.73850000000000005</v>
      </c>
    </row>
    <row r="19" spans="1:11" x14ac:dyDescent="0.4">
      <c r="A19" s="1"/>
      <c r="B19" s="1"/>
      <c r="C19" s="1"/>
      <c r="D19" s="1"/>
      <c r="E19" t="str">
        <f xml:space="preserve"> TEXT(AVERAGE(E14:E18),"0.0000") &amp; "±" &amp; TEXT(_xlfn.STDEV.S(E14:E18),"0.0000")</f>
        <v>0.7640±0.0250</v>
      </c>
      <c r="F19" t="str">
        <f t="shared" ref="F19:K19" si="2" xml:space="preserve"> TEXT(AVERAGE(F14:F18),"0.0000") &amp; "±" &amp; TEXT(_xlfn.STDEV.S(F14:F18),"0.0000")</f>
        <v>0.7907±0.0207</v>
      </c>
      <c r="G19" t="str">
        <f t="shared" si="2"/>
        <v>0.7909±0.0207</v>
      </c>
      <c r="H19" t="str">
        <f t="shared" si="2"/>
        <v>0.6272±0.0132</v>
      </c>
      <c r="I19" t="str">
        <f t="shared" si="2"/>
        <v>0.9054±0.0418</v>
      </c>
      <c r="J19" t="str">
        <f t="shared" si="2"/>
        <v>0.6512±0.0093</v>
      </c>
      <c r="K19" t="str">
        <f t="shared" si="2"/>
        <v>0.7404±0.0082</v>
      </c>
    </row>
    <row r="20" spans="1:11" x14ac:dyDescent="0.4">
      <c r="A20" s="3" t="s">
        <v>19</v>
      </c>
      <c r="B20" s="1" t="s">
        <v>15</v>
      </c>
      <c r="C20" s="1">
        <v>42</v>
      </c>
      <c r="D20" s="4">
        <v>14</v>
      </c>
      <c r="E20" s="4">
        <v>0.96199999999999997</v>
      </c>
      <c r="F20" s="4">
        <v>0.96489999999999998</v>
      </c>
      <c r="G20" s="4">
        <v>0.96499999999999997</v>
      </c>
      <c r="H20" s="4">
        <v>0.88939999999999997</v>
      </c>
      <c r="I20" s="4">
        <v>0.91269999999999996</v>
      </c>
      <c r="J20" s="4">
        <v>0.90090000000000003</v>
      </c>
      <c r="K20" s="4">
        <v>0.90090000000000003</v>
      </c>
    </row>
    <row r="21" spans="1:11" x14ac:dyDescent="0.4">
      <c r="A21" s="3" t="s">
        <v>19</v>
      </c>
      <c r="B21" s="1" t="s">
        <v>15</v>
      </c>
      <c r="C21" s="1">
        <v>1234</v>
      </c>
      <c r="D21" s="4">
        <v>15</v>
      </c>
      <c r="E21" s="4">
        <v>0.96130000000000004</v>
      </c>
      <c r="F21" s="4">
        <v>0.96530000000000005</v>
      </c>
      <c r="G21" s="4">
        <v>0.96530000000000005</v>
      </c>
      <c r="H21" s="4">
        <v>0.91869999999999996</v>
      </c>
      <c r="I21" s="4">
        <v>0.83840000000000003</v>
      </c>
      <c r="J21" s="4">
        <v>0.88360000000000005</v>
      </c>
      <c r="K21" s="4">
        <v>0.87670000000000003</v>
      </c>
    </row>
    <row r="22" spans="1:11" x14ac:dyDescent="0.4">
      <c r="A22" s="3" t="s">
        <v>19</v>
      </c>
      <c r="B22" s="1" t="s">
        <v>15</v>
      </c>
      <c r="C22" s="1">
        <v>2025</v>
      </c>
      <c r="D22" s="4">
        <v>18</v>
      </c>
      <c r="E22" s="4">
        <v>0.9577</v>
      </c>
      <c r="F22" s="4">
        <v>0.96079999999999999</v>
      </c>
      <c r="G22" s="4">
        <v>0.96079999999999999</v>
      </c>
      <c r="H22" s="4">
        <v>0.87239999999999995</v>
      </c>
      <c r="I22" s="4">
        <v>0.92579999999999996</v>
      </c>
      <c r="J22" s="4">
        <v>0.89659999999999995</v>
      </c>
      <c r="K22" s="4">
        <v>0.89829999999999999</v>
      </c>
    </row>
    <row r="23" spans="1:11" x14ac:dyDescent="0.4">
      <c r="A23" s="3" t="s">
        <v>19</v>
      </c>
      <c r="B23" s="1" t="s">
        <v>15</v>
      </c>
      <c r="C23" s="1">
        <v>12345</v>
      </c>
      <c r="D23" s="4">
        <v>24</v>
      </c>
      <c r="E23" s="4">
        <v>0.9637</v>
      </c>
      <c r="F23" s="4">
        <v>0.9637</v>
      </c>
      <c r="G23" s="4">
        <v>0.96379999999999999</v>
      </c>
      <c r="H23" s="4">
        <v>0.89270000000000005</v>
      </c>
      <c r="I23" s="4">
        <v>0.9083</v>
      </c>
      <c r="J23" s="4">
        <v>0.90090000000000003</v>
      </c>
      <c r="K23" s="4">
        <v>0.90039999999999998</v>
      </c>
    </row>
    <row r="24" spans="1:11" x14ac:dyDescent="0.4">
      <c r="A24" s="3" t="s">
        <v>19</v>
      </c>
      <c r="B24" s="1" t="s">
        <v>15</v>
      </c>
      <c r="C24" s="1">
        <v>666</v>
      </c>
      <c r="D24" s="4">
        <v>18</v>
      </c>
      <c r="E24" s="4">
        <v>0.96389999999999998</v>
      </c>
      <c r="F24" s="4">
        <v>0.96799999999999997</v>
      </c>
      <c r="G24" s="4">
        <v>0.96809999999999996</v>
      </c>
      <c r="H24" s="4">
        <v>0.92789999999999995</v>
      </c>
      <c r="I24" s="4">
        <v>0.89959999999999996</v>
      </c>
      <c r="J24" s="4">
        <v>0.91590000000000005</v>
      </c>
      <c r="K24" s="4">
        <v>0.91349999999999998</v>
      </c>
    </row>
    <row r="25" spans="1:11" x14ac:dyDescent="0.4">
      <c r="A25" s="1"/>
      <c r="B25" s="1"/>
      <c r="C25" s="1"/>
      <c r="D25" s="1"/>
      <c r="E25" t="str">
        <f xml:space="preserve"> TEXT(AVERAGE(E20:E24),"0.0000") &amp; "±" &amp; TEXT(_xlfn.STDEV.S(E20:E24),"0.0000")</f>
        <v>0.9617±0.0025</v>
      </c>
      <c r="F25" t="str">
        <f t="shared" ref="F25:K25" si="3" xml:space="preserve"> TEXT(AVERAGE(F20:F24),"0.0000") &amp; "±" &amp; TEXT(_xlfn.STDEV.S(F20:F24),"0.0000")</f>
        <v>0.9645±0.0026</v>
      </c>
      <c r="G25" t="str">
        <f t="shared" si="3"/>
        <v>0.9646±0.0026</v>
      </c>
      <c r="H25" t="str">
        <f t="shared" si="3"/>
        <v>0.9002±0.0227</v>
      </c>
      <c r="I25" t="str">
        <f t="shared" si="3"/>
        <v>0.8970±0.0341</v>
      </c>
      <c r="J25" t="str">
        <f t="shared" si="3"/>
        <v>0.8996±0.0116</v>
      </c>
      <c r="K25" t="str">
        <f t="shared" si="3"/>
        <v>0.8980±0.0133</v>
      </c>
    </row>
    <row r="26" spans="1:11" x14ac:dyDescent="0.4">
      <c r="A26" s="3" t="s">
        <v>19</v>
      </c>
      <c r="B26" s="1" t="s">
        <v>16</v>
      </c>
      <c r="C26" s="1">
        <v>42</v>
      </c>
      <c r="D26" s="4">
        <v>25</v>
      </c>
      <c r="E26" s="4">
        <v>0.84360000000000002</v>
      </c>
      <c r="F26" s="4">
        <v>0.89549999999999996</v>
      </c>
      <c r="G26" s="4">
        <v>0.89610000000000001</v>
      </c>
      <c r="H26" s="4">
        <v>0.83330000000000004</v>
      </c>
      <c r="I26" s="4">
        <v>0.83330000000000004</v>
      </c>
      <c r="J26" s="4">
        <v>0.8</v>
      </c>
      <c r="K26" s="4">
        <v>0.83330000000000004</v>
      </c>
    </row>
    <row r="27" spans="1:11" x14ac:dyDescent="0.4">
      <c r="A27" s="3" t="s">
        <v>19</v>
      </c>
      <c r="B27" s="1" t="s">
        <v>16</v>
      </c>
      <c r="C27" s="1">
        <v>1234</v>
      </c>
      <c r="D27" s="4">
        <v>3</v>
      </c>
      <c r="E27" s="4">
        <v>0.82179999999999997</v>
      </c>
      <c r="F27" s="4">
        <v>0.88719999999999999</v>
      </c>
      <c r="G27" s="4">
        <v>0.88790000000000002</v>
      </c>
      <c r="H27" s="4">
        <v>0.72070000000000001</v>
      </c>
      <c r="I27" s="4">
        <v>0.83330000000000004</v>
      </c>
      <c r="J27" s="4">
        <v>0.70630000000000004</v>
      </c>
      <c r="K27" s="4">
        <v>0.77290000000000003</v>
      </c>
    </row>
    <row r="28" spans="1:11" x14ac:dyDescent="0.4">
      <c r="A28" s="3" t="s">
        <v>19</v>
      </c>
      <c r="B28" s="1" t="s">
        <v>16</v>
      </c>
      <c r="C28" s="1">
        <v>2025</v>
      </c>
      <c r="D28" s="4">
        <v>19</v>
      </c>
      <c r="E28" s="4">
        <v>0.83479999999999999</v>
      </c>
      <c r="F28" s="4">
        <v>0.88080000000000003</v>
      </c>
      <c r="G28" s="4">
        <v>0.88149999999999995</v>
      </c>
      <c r="H28" s="4">
        <v>0.78220000000000001</v>
      </c>
      <c r="I28" s="4">
        <v>0.82289999999999996</v>
      </c>
      <c r="J28" s="4">
        <v>0.75619999999999998</v>
      </c>
      <c r="K28" s="4">
        <v>0.80200000000000005</v>
      </c>
    </row>
    <row r="29" spans="1:11" x14ac:dyDescent="0.4">
      <c r="A29" s="3" t="s">
        <v>19</v>
      </c>
      <c r="B29" s="1" t="s">
        <v>16</v>
      </c>
      <c r="C29" s="1">
        <v>12345</v>
      </c>
      <c r="D29" s="4">
        <v>3</v>
      </c>
      <c r="E29" s="4">
        <v>0.80969999999999998</v>
      </c>
      <c r="F29" s="4">
        <v>0.87749999999999995</v>
      </c>
      <c r="G29" s="4">
        <v>0.87819999999999998</v>
      </c>
      <c r="H29" s="4">
        <v>0.7016</v>
      </c>
      <c r="I29" s="4">
        <v>0.90620000000000001</v>
      </c>
      <c r="J29" s="4">
        <v>0.71250000000000002</v>
      </c>
      <c r="K29" s="4">
        <v>0.79090000000000005</v>
      </c>
    </row>
    <row r="30" spans="1:11" x14ac:dyDescent="0.4">
      <c r="A30" s="3" t="s">
        <v>19</v>
      </c>
      <c r="B30" s="1" t="s">
        <v>16</v>
      </c>
      <c r="C30" s="1">
        <v>666</v>
      </c>
      <c r="D30" s="4">
        <v>12</v>
      </c>
      <c r="E30" s="4">
        <v>0.81879999999999997</v>
      </c>
      <c r="F30" s="4">
        <v>0.85709999999999997</v>
      </c>
      <c r="G30" s="4">
        <v>0.85850000000000004</v>
      </c>
      <c r="H30" s="4">
        <v>0.73909999999999998</v>
      </c>
      <c r="I30" s="4">
        <v>0.88539999999999996</v>
      </c>
      <c r="J30" s="4">
        <v>0.74380000000000002</v>
      </c>
      <c r="K30" s="4">
        <v>0.80569999999999997</v>
      </c>
    </row>
    <row r="31" spans="1:11" x14ac:dyDescent="0.4">
      <c r="E31" t="str">
        <f xml:space="preserve"> TEXT(AVERAGE(E26:E30),"0.0000") &amp; "±" &amp; TEXT(_xlfn.STDEV.S(E26:E30),"0.0000")</f>
        <v>0.8257±0.0134</v>
      </c>
      <c r="F31" t="str">
        <f t="shared" ref="F31:K31" si="4" xml:space="preserve"> TEXT(AVERAGE(F26:F30),"0.0000") &amp; "±" &amp; TEXT(_xlfn.STDEV.S(F26:F30),"0.0000")</f>
        <v>0.8796±0.0143</v>
      </c>
      <c r="G31" t="str">
        <f t="shared" si="4"/>
        <v>0.8804±0.0140</v>
      </c>
      <c r="H31" t="str">
        <f t="shared" si="4"/>
        <v>0.7554±0.0528</v>
      </c>
      <c r="I31" t="str">
        <f t="shared" si="4"/>
        <v>0.8562±0.0371</v>
      </c>
      <c r="J31" t="str">
        <f t="shared" si="4"/>
        <v>0.7438±0.0377</v>
      </c>
      <c r="K31" t="str">
        <f t="shared" si="4"/>
        <v>0.8010±0.0221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celegans</vt:lpstr>
      <vt:lpstr>human</vt:lpstr>
      <vt:lpstr>Article</vt:lpstr>
      <vt:lpstr>Patent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</dc:creator>
  <cp:lastModifiedBy>牛　文涛</cp:lastModifiedBy>
  <dcterms:created xsi:type="dcterms:W3CDTF">2015-06-05T18:19:34Z</dcterms:created>
  <dcterms:modified xsi:type="dcterms:W3CDTF">2026-07-24T08:04:53Z</dcterms:modified>
</cp:coreProperties>
</file>