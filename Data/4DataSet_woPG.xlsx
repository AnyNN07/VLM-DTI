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u\Documents\Codex\2026-07-14\7-30-slack-plugin-slack-openai-4\outputs\VLM_DTI_FinalProvenance_20260723\VLM-DTI source code\Data\"/>
    </mc:Choice>
  </mc:AlternateContent>
  <xr:revisionPtr revIDLastSave="0" documentId="13_ncr:1_{A3C81D6A-279F-4A0B-9475-E07DBDABCB53}" xr6:coauthVersionLast="47" xr6:coauthVersionMax="47" xr10:uidLastSave="{00000000-0000-0000-0000-000000000000}"/>
  <bookViews>
    <workbookView xWindow="7620" yWindow="825" windowWidth="16350" windowHeight="14415" activeTab="3" xr2:uid="{00000000-000D-0000-FFFF-FFFF00000000}"/>
  </bookViews>
  <sheets>
    <sheet name="celegans" sheetId="1" r:id="rId1"/>
    <sheet name="human" sheetId="2" r:id="rId2"/>
    <sheet name="Article" sheetId="3" r:id="rId3"/>
    <sheet name="Pat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E25" i="4"/>
  <c r="F25" i="4"/>
  <c r="G25" i="4"/>
  <c r="H25" i="4"/>
  <c r="I25" i="4"/>
  <c r="J25" i="4"/>
  <c r="J31" i="4"/>
  <c r="I31" i="4"/>
  <c r="H31" i="4"/>
  <c r="G31" i="4"/>
  <c r="F31" i="4"/>
  <c r="E31" i="4"/>
  <c r="D31" i="4"/>
  <c r="J19" i="4"/>
  <c r="I19" i="4"/>
  <c r="H19" i="4"/>
  <c r="G19" i="4"/>
  <c r="F19" i="4"/>
  <c r="E19" i="4"/>
  <c r="D19" i="4"/>
  <c r="J13" i="4"/>
  <c r="I13" i="4"/>
  <c r="H13" i="4"/>
  <c r="G13" i="4"/>
  <c r="F13" i="4"/>
  <c r="E13" i="4"/>
  <c r="D13" i="4"/>
  <c r="J7" i="4"/>
  <c r="I7" i="4"/>
  <c r="H7" i="4"/>
  <c r="G7" i="4"/>
  <c r="F7" i="4"/>
  <c r="E7" i="4"/>
  <c r="D7" i="4"/>
  <c r="J31" i="3"/>
  <c r="I31" i="3"/>
  <c r="H31" i="3"/>
  <c r="G31" i="3"/>
  <c r="F31" i="3"/>
  <c r="E31" i="3"/>
  <c r="D31" i="3"/>
  <c r="J25" i="3"/>
  <c r="I25" i="3"/>
  <c r="H25" i="3"/>
  <c r="G25" i="3"/>
  <c r="F25" i="3"/>
  <c r="E25" i="3"/>
  <c r="D25" i="3"/>
  <c r="J19" i="3"/>
  <c r="I19" i="3"/>
  <c r="H19" i="3"/>
  <c r="G19" i="3"/>
  <c r="F19" i="3"/>
  <c r="E19" i="3"/>
  <c r="D19" i="3"/>
  <c r="J13" i="3"/>
  <c r="I13" i="3"/>
  <c r="H13" i="3"/>
  <c r="G13" i="3"/>
  <c r="F13" i="3"/>
  <c r="E13" i="3"/>
  <c r="D13" i="3"/>
  <c r="J7" i="3"/>
  <c r="I7" i="3"/>
  <c r="H7" i="3"/>
  <c r="G7" i="3"/>
  <c r="F7" i="3"/>
  <c r="E7" i="3"/>
  <c r="D7" i="3"/>
  <c r="J31" i="2"/>
  <c r="I31" i="2"/>
  <c r="H31" i="2"/>
  <c r="G31" i="2"/>
  <c r="F31" i="2"/>
  <c r="E31" i="2"/>
  <c r="D31" i="2"/>
  <c r="J25" i="2"/>
  <c r="I25" i="2"/>
  <c r="H25" i="2"/>
  <c r="G25" i="2"/>
  <c r="F25" i="2"/>
  <c r="E25" i="2"/>
  <c r="D25" i="2"/>
  <c r="J19" i="2"/>
  <c r="I19" i="2"/>
  <c r="H19" i="2"/>
  <c r="G19" i="2"/>
  <c r="F19" i="2"/>
  <c r="E19" i="2"/>
  <c r="D19" i="2"/>
  <c r="J13" i="2"/>
  <c r="I13" i="2"/>
  <c r="H13" i="2"/>
  <c r="G13" i="2"/>
  <c r="F13" i="2"/>
  <c r="E13" i="2"/>
  <c r="D13" i="2"/>
  <c r="J7" i="2"/>
  <c r="I7" i="2"/>
  <c r="H7" i="2"/>
  <c r="G7" i="2"/>
  <c r="F7" i="2"/>
  <c r="E7" i="2"/>
  <c r="D7" i="2"/>
  <c r="E31" i="1"/>
  <c r="F31" i="1"/>
  <c r="G31" i="1"/>
  <c r="H31" i="1"/>
  <c r="I31" i="1"/>
  <c r="J31" i="1"/>
  <c r="D31" i="1"/>
  <c r="E25" i="1"/>
  <c r="F25" i="1"/>
  <c r="G25" i="1"/>
  <c r="H25" i="1"/>
  <c r="I25" i="1"/>
  <c r="J25" i="1"/>
  <c r="D25" i="1"/>
  <c r="E19" i="1"/>
  <c r="F19" i="1"/>
  <c r="G19" i="1"/>
  <c r="H19" i="1"/>
  <c r="I19" i="1"/>
  <c r="J19" i="1"/>
  <c r="D19" i="1"/>
  <c r="E13" i="1"/>
  <c r="F13" i="1"/>
  <c r="G13" i="1"/>
  <c r="H13" i="1"/>
  <c r="I13" i="1"/>
  <c r="J13" i="1"/>
  <c r="D13" i="1"/>
  <c r="E7" i="1"/>
  <c r="F7" i="1"/>
  <c r="G7" i="1"/>
  <c r="H7" i="1"/>
  <c r="I7" i="1"/>
  <c r="J7" i="1"/>
  <c r="D7" i="1"/>
</calcChain>
</file>

<file path=xl/sharedStrings.xml><?xml version="1.0" encoding="utf-8"?>
<sst xmlns="http://schemas.openxmlformats.org/spreadsheetml/2006/main" count="240" uniqueCount="19">
  <si>
    <t>Dataset</t>
  </si>
  <si>
    <t>Split</t>
  </si>
  <si>
    <t>Seed</t>
  </si>
  <si>
    <t>AUC_Test</t>
  </si>
  <si>
    <t>PRAUC_Test</t>
  </si>
  <si>
    <t>AUPRC_Test</t>
  </si>
  <si>
    <t>Precision_Test</t>
  </si>
  <si>
    <t>Recall_Test</t>
  </si>
  <si>
    <t>Accuracy_Test</t>
  </si>
  <si>
    <t>F1_Test</t>
  </si>
  <si>
    <t>celegans</t>
  </si>
  <si>
    <t>random</t>
  </si>
  <si>
    <t>cold_smiles</t>
  </si>
  <si>
    <t>cold_protein</t>
  </si>
  <si>
    <t>cold_both</t>
  </si>
  <si>
    <t>cluster</t>
  </si>
  <si>
    <t>human</t>
    <phoneticPr fontId="25" type="noConversion"/>
  </si>
  <si>
    <t>Article</t>
    <phoneticPr fontId="25" type="noConversion"/>
  </si>
  <si>
    <t>Patent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</si>
</sst>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8"/>
      <color theme="3"/>
      <name val="Yu Gothic Light"/>
      <family val="2"/>
      <charset val="134"/>
      <scheme val="major"/>
    </font>
    <font>
      <b/>
      <sz val="15"/>
      <color theme="3"/>
      <name val="Yu Gothic"/>
      <family val="2"/>
      <charset val="134"/>
      <scheme val="minor"/>
    </font>
    <font>
      <b/>
      <sz val="13"/>
      <color theme="3"/>
      <name val="Yu Gothic"/>
      <family val="2"/>
      <charset val="134"/>
      <scheme val="minor"/>
    </font>
    <font>
      <b/>
      <sz val="11"/>
      <color theme="3"/>
      <name val="Yu Gothic"/>
      <family val="2"/>
      <charset val="134"/>
      <scheme val="minor"/>
    </font>
    <font>
      <sz val="11"/>
      <color rgb="FF006100"/>
      <name val="Yu Gothic"/>
      <family val="2"/>
      <charset val="134"/>
      <scheme val="minor"/>
    </font>
    <font>
      <sz val="11"/>
      <color rgb="FF9C0006"/>
      <name val="Yu Gothic"/>
      <family val="2"/>
      <charset val="134"/>
      <scheme val="minor"/>
    </font>
    <font>
      <sz val="11"/>
      <color rgb="FF9C5700"/>
      <name val="Yu Gothic"/>
      <family val="2"/>
      <charset val="134"/>
      <scheme val="minor"/>
    </font>
    <font>
      <sz val="11"/>
      <color rgb="FF3F3F76"/>
      <name val="Yu Gothic"/>
      <family val="2"/>
      <charset val="134"/>
      <scheme val="minor"/>
    </font>
    <font>
      <b/>
      <sz val="11"/>
      <color rgb="FF3F3F3F"/>
      <name val="Yu Gothic"/>
      <family val="2"/>
      <charset val="134"/>
      <scheme val="minor"/>
    </font>
    <font>
      <b/>
      <sz val="11"/>
      <color rgb="FFFA7D00"/>
      <name val="Yu Gothic"/>
      <family val="2"/>
      <charset val="134"/>
      <scheme val="minor"/>
    </font>
    <font>
      <sz val="11"/>
      <color rgb="FFFA7D00"/>
      <name val="Yu Gothic"/>
      <family val="2"/>
      <charset val="134"/>
      <scheme val="minor"/>
    </font>
    <font>
      <b/>
      <sz val="11"/>
      <color theme="0"/>
      <name val="Yu Gothic"/>
      <family val="2"/>
      <charset val="134"/>
      <scheme val="minor"/>
    </font>
    <font>
      <sz val="11"/>
      <color rgb="FFFF0000"/>
      <name val="Yu Gothic"/>
      <family val="2"/>
      <charset val="134"/>
      <scheme val="minor"/>
    </font>
    <font>
      <i/>
      <sz val="11"/>
      <color rgb="FF7F7F7F"/>
      <name val="Yu Gothic"/>
      <family val="2"/>
      <charset val="134"/>
      <scheme val="minor"/>
    </font>
    <font>
      <b/>
      <sz val="11"/>
      <color theme="1"/>
      <name val="Yu Gothic"/>
      <family val="2"/>
      <charset val="134"/>
      <scheme val="minor"/>
    </font>
    <font>
      <sz val="11"/>
      <color theme="0"/>
      <name val="Yu Gothic"/>
      <family val="2"/>
      <charset val="134"/>
      <scheme val="minor"/>
    </font>
    <font>
      <sz val="9"/>
      <name val="Yu Gothic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8" fillId="0" borderId="0" xfId="41">
      <alignment vertical="center"/>
    </xf>
    <xf numFmtId="0" fontId="7" fillId="0" borderId="0" xfId="41" applyFont="1">
      <alignment vertical="center"/>
    </xf>
    <xf numFmtId="0" fontId="6" fillId="0" borderId="0" xfId="41" applyFont="1">
      <alignment vertical="center"/>
    </xf>
    <xf numFmtId="0" fontId="0" fillId="0" borderId="0" xfId="0" applyAlignment="1">
      <alignment vertical="center"/>
    </xf>
  </cellXfs>
  <cellStyles count="143">
    <cellStyle name="20% - 着色 1" xfId="18" builtinId="30" customBuiltin="1"/>
    <cellStyle name="20% - 着色 1 2" xfId="45" xr:uid="{631A7372-A942-4A52-BDED-97E4C6DB0408}"/>
    <cellStyle name="20% - 着色 1 3" xfId="65" xr:uid="{56AABC51-9393-4998-8DFD-9D883448C235}"/>
    <cellStyle name="20% - 着色 1 4" xfId="85" xr:uid="{CB84EA57-D6BF-4014-B0AA-2D5B9D16C222}"/>
    <cellStyle name="20% - 着色 1 5" xfId="105" xr:uid="{AFC892CB-3A61-490E-8D13-A6BB90DBA78E}"/>
    <cellStyle name="20% - 着色 1 6" xfId="125" xr:uid="{A1461F31-E7AF-4311-854B-0DD0C40E3C6C}"/>
    <cellStyle name="20% - 着色 2" xfId="22" builtinId="34" customBuiltin="1"/>
    <cellStyle name="20% - 着色 2 2" xfId="48" xr:uid="{6A4DC293-89CD-4019-862F-19221404CC3D}"/>
    <cellStyle name="20% - 着色 2 3" xfId="68" xr:uid="{70E8CAA7-A404-468C-922C-D38F8164043E}"/>
    <cellStyle name="20% - 着色 2 4" xfId="88" xr:uid="{5507E9B2-3FC8-4BCE-B08F-8A9EB643F584}"/>
    <cellStyle name="20% - 着色 2 5" xfId="108" xr:uid="{4B18CD4F-E694-4C1F-8ADC-3CF2C3893337}"/>
    <cellStyle name="20% - 着色 2 6" xfId="128" xr:uid="{335F97AA-B55F-4F0E-9D7E-B763D130EB12}"/>
    <cellStyle name="20% - 着色 3" xfId="26" builtinId="38" customBuiltin="1"/>
    <cellStyle name="20% - 着色 3 2" xfId="51" xr:uid="{A8933B8F-B7BD-4069-A793-A567F4C456F4}"/>
    <cellStyle name="20% - 着色 3 3" xfId="71" xr:uid="{7510CD13-78D8-4417-89E6-5FB19CE81182}"/>
    <cellStyle name="20% - 着色 3 4" xfId="91" xr:uid="{8685F12C-954F-40D7-8C88-8C4EB3110018}"/>
    <cellStyle name="20% - 着色 3 5" xfId="111" xr:uid="{234E29D2-E6E6-461B-8A8B-9A1A9E60B46D}"/>
    <cellStyle name="20% - 着色 3 6" xfId="131" xr:uid="{FEED36D1-4D3D-4DDB-88D1-1B56DD58CE7F}"/>
    <cellStyle name="20% - 着色 4" xfId="30" builtinId="42" customBuiltin="1"/>
    <cellStyle name="20% - 着色 4 2" xfId="54" xr:uid="{659BC925-A1C0-4C2B-8B95-A0D3951A1948}"/>
    <cellStyle name="20% - 着色 4 3" xfId="74" xr:uid="{5600C31C-03BB-4868-9FAF-AA20E501B9B3}"/>
    <cellStyle name="20% - 着色 4 4" xfId="94" xr:uid="{DB8BBC72-CC6B-4A78-98E5-D47A76900BF2}"/>
    <cellStyle name="20% - 着色 4 5" xfId="114" xr:uid="{61CB142A-206E-47AF-B207-D1F5A1B5B412}"/>
    <cellStyle name="20% - 着色 4 6" xfId="134" xr:uid="{58B17B6B-B61B-48B6-A220-49B07BF124A4}"/>
    <cellStyle name="20% - 着色 5" xfId="34" builtinId="46" customBuiltin="1"/>
    <cellStyle name="20% - 着色 5 2" xfId="57" xr:uid="{90EF5071-6EFE-4782-AF86-9ECB5F4238E4}"/>
    <cellStyle name="20% - 着色 5 3" xfId="77" xr:uid="{F1181EA4-7FD0-4E3B-B002-485D1C01DFE0}"/>
    <cellStyle name="20% - 着色 5 4" xfId="97" xr:uid="{0DEAD9ED-B107-4340-A9D4-ACD2C477DEB6}"/>
    <cellStyle name="20% - 着色 5 5" xfId="117" xr:uid="{F528A756-AE66-486B-84F7-9E9B3EC7011B}"/>
    <cellStyle name="20% - 着色 5 6" xfId="137" xr:uid="{5FEAB2C2-E2E0-4EF0-9B81-2C46599DB0C1}"/>
    <cellStyle name="20% - 着色 6" xfId="38" builtinId="50" customBuiltin="1"/>
    <cellStyle name="20% - 着色 6 2" xfId="60" xr:uid="{262DC657-0A65-4157-BDEE-39B1F2F234D4}"/>
    <cellStyle name="20% - 着色 6 3" xfId="80" xr:uid="{D6525EAD-5066-45D6-86ED-0E0E21172AD5}"/>
    <cellStyle name="20% - 着色 6 4" xfId="100" xr:uid="{5AD7AEBE-92F6-44A6-9CF7-228F669645F3}"/>
    <cellStyle name="20% - 着色 6 5" xfId="120" xr:uid="{A9211D6D-63B9-40D5-94D4-76360DB55852}"/>
    <cellStyle name="20% - 着色 6 6" xfId="140" xr:uid="{FC9C5CFF-0AE1-4FC3-91CD-CE36139D9F65}"/>
    <cellStyle name="40% - 着色 1" xfId="19" builtinId="31" customBuiltin="1"/>
    <cellStyle name="40% - 着色 1 2" xfId="46" xr:uid="{CD65E19E-1BA1-47B1-AEA1-0968D6FD55CE}"/>
    <cellStyle name="40% - 着色 1 3" xfId="66" xr:uid="{6685EC54-982F-4AEB-A492-3A7D491EA975}"/>
    <cellStyle name="40% - 着色 1 4" xfId="86" xr:uid="{37A31E1A-9039-45EC-8B3E-32FD1205FC36}"/>
    <cellStyle name="40% - 着色 1 5" xfId="106" xr:uid="{5BBD7BF1-EA65-4507-B1B5-D2333231BB78}"/>
    <cellStyle name="40% - 着色 1 6" xfId="126" xr:uid="{E558EF9C-8291-4CA2-B880-9D8327D3946D}"/>
    <cellStyle name="40% - 着色 2" xfId="23" builtinId="35" customBuiltin="1"/>
    <cellStyle name="40% - 着色 2 2" xfId="49" xr:uid="{DAEB1DCD-E3F1-413F-882A-385BD42877D7}"/>
    <cellStyle name="40% - 着色 2 3" xfId="69" xr:uid="{8DD48D7A-65FC-4441-819D-E1B9BD89A9CD}"/>
    <cellStyle name="40% - 着色 2 4" xfId="89" xr:uid="{CDC87EEC-9FF2-422F-919A-DBA44F498FA4}"/>
    <cellStyle name="40% - 着色 2 5" xfId="109" xr:uid="{DACE0C3F-3BAC-4BDE-907D-7E4B347F5EF5}"/>
    <cellStyle name="40% - 着色 2 6" xfId="129" xr:uid="{50E17335-1784-4570-8BFB-CBC8EEA3DC3F}"/>
    <cellStyle name="40% - 着色 3" xfId="27" builtinId="39" customBuiltin="1"/>
    <cellStyle name="40% - 着色 3 2" xfId="52" xr:uid="{6DBD6CD2-C8D6-4F6E-855F-3A8F35E5B744}"/>
    <cellStyle name="40% - 着色 3 3" xfId="72" xr:uid="{78322575-F9A7-4657-BCBD-42369312B633}"/>
    <cellStyle name="40% - 着色 3 4" xfId="92" xr:uid="{4633610D-0F8E-4489-AB35-6BB16DBC38AD}"/>
    <cellStyle name="40% - 着色 3 5" xfId="112" xr:uid="{AD48368B-303B-4BA3-812F-CCBE4C4EEF8A}"/>
    <cellStyle name="40% - 着色 3 6" xfId="132" xr:uid="{A69DCCDE-5476-474E-90FF-F204CBBAEEDE}"/>
    <cellStyle name="40% - 着色 4" xfId="31" builtinId="43" customBuiltin="1"/>
    <cellStyle name="40% - 着色 4 2" xfId="55" xr:uid="{C11AB2BB-0922-41A0-B363-E596D28A20FD}"/>
    <cellStyle name="40% - 着色 4 3" xfId="75" xr:uid="{483EFE0A-C4B5-42FD-B50C-489E54A922D8}"/>
    <cellStyle name="40% - 着色 4 4" xfId="95" xr:uid="{3A3F0992-7EEA-4CD7-A062-A16FEA25C800}"/>
    <cellStyle name="40% - 着色 4 5" xfId="115" xr:uid="{5D2BBE6F-C54D-4F23-8007-A34638470011}"/>
    <cellStyle name="40% - 着色 4 6" xfId="135" xr:uid="{64528971-77B7-4223-B2C5-7A12B213D9C4}"/>
    <cellStyle name="40% - 着色 5" xfId="35" builtinId="47" customBuiltin="1"/>
    <cellStyle name="40% - 着色 5 2" xfId="58" xr:uid="{06864929-D609-4E5A-AC23-B991FB665BF2}"/>
    <cellStyle name="40% - 着色 5 3" xfId="78" xr:uid="{5F50EBDB-8A96-4F28-A7DC-B8F2D7E69841}"/>
    <cellStyle name="40% - 着色 5 4" xfId="98" xr:uid="{F2824923-6C4C-468B-A424-2CE085758F01}"/>
    <cellStyle name="40% - 着色 5 5" xfId="118" xr:uid="{202AD565-C482-404C-B397-B2EE73C75249}"/>
    <cellStyle name="40% - 着色 5 6" xfId="138" xr:uid="{1AD2B8D8-9F3A-4E39-9680-80C9CEC01AAB}"/>
    <cellStyle name="40% - 着色 6" xfId="39" builtinId="51" customBuiltin="1"/>
    <cellStyle name="40% - 着色 6 2" xfId="61" xr:uid="{38E09F43-2066-4B3B-8841-81B671097222}"/>
    <cellStyle name="40% - 着色 6 3" xfId="81" xr:uid="{4782943A-BD1D-4019-8B7B-87DD175B4031}"/>
    <cellStyle name="40% - 着色 6 4" xfId="101" xr:uid="{1BC64C9B-4BBC-4152-A238-24C96F560E8A}"/>
    <cellStyle name="40% - 着色 6 5" xfId="121" xr:uid="{AAC8FEB6-3145-43F8-A3A7-C68F89F1B60B}"/>
    <cellStyle name="40% - 着色 6 6" xfId="141" xr:uid="{969C935A-3AED-4BD0-868A-E703064B30D6}"/>
    <cellStyle name="60% - 着色 1" xfId="20" builtinId="32" customBuiltin="1"/>
    <cellStyle name="60% - 着色 1 2" xfId="47" xr:uid="{A554982A-5FD7-45B5-ABE1-4083A572DD7B}"/>
    <cellStyle name="60% - 着色 1 3" xfId="67" xr:uid="{FB2E2471-407A-4391-95D1-F5467775887E}"/>
    <cellStyle name="60% - 着色 1 4" xfId="87" xr:uid="{93C81AC1-ED28-47D7-A1BC-FF313BE44DED}"/>
    <cellStyle name="60% - 着色 1 5" xfId="107" xr:uid="{237413DC-50C4-49A3-83AD-64A748594CE8}"/>
    <cellStyle name="60% - 着色 1 6" xfId="127" xr:uid="{F5D3B3B4-41A2-436E-A169-D0C2DAEAE6DC}"/>
    <cellStyle name="60% - 着色 2" xfId="24" builtinId="36" customBuiltin="1"/>
    <cellStyle name="60% - 着色 2 2" xfId="50" xr:uid="{19BE0BEF-D624-4EE9-9257-834C0678019E}"/>
    <cellStyle name="60% - 着色 2 3" xfId="70" xr:uid="{BB437F35-03BF-4861-BD2B-B359A7A6067D}"/>
    <cellStyle name="60% - 着色 2 4" xfId="90" xr:uid="{86E6D2A1-475D-4170-AD40-25F26D16DF3E}"/>
    <cellStyle name="60% - 着色 2 5" xfId="110" xr:uid="{19BBC151-1C51-46FE-864B-3A78D3F93614}"/>
    <cellStyle name="60% - 着色 2 6" xfId="130" xr:uid="{EC369AD1-92E5-438B-8515-9CF2F5F9E6D9}"/>
    <cellStyle name="60% - 着色 3" xfId="28" builtinId="40" customBuiltin="1"/>
    <cellStyle name="60% - 着色 3 2" xfId="53" xr:uid="{A4D04FF9-8E5C-4D67-A59F-FBE0C5347AF7}"/>
    <cellStyle name="60% - 着色 3 3" xfId="73" xr:uid="{1428FAE4-E8C3-48D2-A11F-AC4235AB9290}"/>
    <cellStyle name="60% - 着色 3 4" xfId="93" xr:uid="{9BA5E2DD-686D-478D-941E-F6E0A64A88FA}"/>
    <cellStyle name="60% - 着色 3 5" xfId="113" xr:uid="{4088A86E-FD6E-49A2-9FF0-28782124006F}"/>
    <cellStyle name="60% - 着色 3 6" xfId="133" xr:uid="{06AF6C2B-E274-4C89-A367-357B36D3E905}"/>
    <cellStyle name="60% - 着色 4" xfId="32" builtinId="44" customBuiltin="1"/>
    <cellStyle name="60% - 着色 4 2" xfId="56" xr:uid="{C76605BB-D6D4-47C1-84A2-BD5EB42A8C3A}"/>
    <cellStyle name="60% - 着色 4 3" xfId="76" xr:uid="{B2E593C2-DA13-43E3-9A8D-66297A6BBE51}"/>
    <cellStyle name="60% - 着色 4 4" xfId="96" xr:uid="{801BA9F6-0E72-47FA-B219-430FAF59374D}"/>
    <cellStyle name="60% - 着色 4 5" xfId="116" xr:uid="{763DF44B-DFA1-4096-BB94-F6EEAEC3BD35}"/>
    <cellStyle name="60% - 着色 4 6" xfId="136" xr:uid="{961F640B-6A9F-4D87-9206-CAB58107BDAD}"/>
    <cellStyle name="60% - 着色 5" xfId="36" builtinId="48" customBuiltin="1"/>
    <cellStyle name="60% - 着色 5 2" xfId="59" xr:uid="{5F19B3F2-B248-4396-846D-637D4900097A}"/>
    <cellStyle name="60% - 着色 5 3" xfId="79" xr:uid="{1E386808-5C4A-4519-9E4E-DF2C58EF5A01}"/>
    <cellStyle name="60% - 着色 5 4" xfId="99" xr:uid="{444230EB-23EE-44C8-9705-868DBFC32204}"/>
    <cellStyle name="60% - 着色 5 5" xfId="119" xr:uid="{A3E03B2F-8C0E-4DE0-86D7-ABA7F9A5A29E}"/>
    <cellStyle name="60% - 着色 5 6" xfId="139" xr:uid="{8BB3DDF9-1740-4958-955C-56D9E46FC9AA}"/>
    <cellStyle name="60% - 着色 6" xfId="40" builtinId="52" customBuiltin="1"/>
    <cellStyle name="60% - 着色 6 2" xfId="62" xr:uid="{41359507-9234-473A-A2F2-205C3FCB5C20}"/>
    <cellStyle name="60% - 着色 6 3" xfId="82" xr:uid="{0DB6592A-7462-43CB-8996-0776D8351480}"/>
    <cellStyle name="60% - 着色 6 4" xfId="102" xr:uid="{60187D8F-F6F9-47D6-8278-A5ED76CC494C}"/>
    <cellStyle name="60% - 着色 6 5" xfId="122" xr:uid="{090319BF-6E96-4949-8402-5EE770C88507}"/>
    <cellStyle name="60% - 着色 6 6" xfId="142" xr:uid="{1C5DAFE4-3E6A-481B-8772-3A33300EA48A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CF3D909-F7E9-47A7-BDB6-C6D0D623462C}"/>
    <cellStyle name="常规 3" xfId="43" xr:uid="{866F4CA7-96A3-4333-ACBD-729B68C796EC}"/>
    <cellStyle name="常规 4" xfId="63" xr:uid="{0B3FCBC7-2C4D-4396-8F4F-FBD42A224388}"/>
    <cellStyle name="常规 5" xfId="83" xr:uid="{41AAEAB9-F640-4E57-A46B-45A6552F286E}"/>
    <cellStyle name="常规 6" xfId="103" xr:uid="{64BFAC25-A285-4E4E-8F70-81AF628E281A}"/>
    <cellStyle name="常规 7" xfId="123" xr:uid="{A2196C91-3E5D-4AFE-8BD5-FA263357379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EAE4821-A933-46B2-BD81-B7B20FBFA1EB}"/>
    <cellStyle name="注释 3" xfId="44" xr:uid="{F9FCB5FD-24BD-4B3D-8B47-C3AF0C231D35}"/>
    <cellStyle name="注释 4" xfId="64" xr:uid="{D386D93C-D98E-4719-B26B-1DF3B9C79F7E}"/>
    <cellStyle name="注释 5" xfId="84" xr:uid="{7C3AD71C-EF84-4EC4-8DE7-A578B2FBF9C0}"/>
    <cellStyle name="注释 6" xfId="104" xr:uid="{730C0665-7725-489C-A345-F2B7E9C4418D}"/>
    <cellStyle name="注释 7" xfId="124" xr:uid="{4DA805FD-284D-48B0-B7C5-AC139773C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A8" workbookViewId="0">
      <selection activeCell="D1" sqref="D1:J31"/>
    </sheetView>
  </sheetViews>
  <sheetFormatPr defaultRowHeight="18.75" x14ac:dyDescent="0.4"/>
  <cols>
    <col min="2" max="2" width="14.3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 t="s">
        <v>10</v>
      </c>
      <c r="B2" s="1" t="s">
        <v>11</v>
      </c>
      <c r="C2" s="1">
        <v>42</v>
      </c>
      <c r="D2" s="4">
        <v>0.99390000000000001</v>
      </c>
      <c r="E2" s="4">
        <v>0.99390000000000001</v>
      </c>
      <c r="F2" s="4">
        <v>0.99390000000000001</v>
      </c>
      <c r="G2" s="4">
        <v>0.97309999999999997</v>
      </c>
      <c r="H2" s="4">
        <v>0.96530000000000005</v>
      </c>
      <c r="I2" s="4">
        <v>0.97050000000000003</v>
      </c>
      <c r="J2" s="4">
        <v>0.96919999999999995</v>
      </c>
    </row>
    <row r="3" spans="1:10" x14ac:dyDescent="0.4">
      <c r="A3" s="1" t="s">
        <v>10</v>
      </c>
      <c r="B3" s="1" t="s">
        <v>11</v>
      </c>
      <c r="C3" s="1">
        <v>1234</v>
      </c>
      <c r="D3" s="4">
        <v>0.99390000000000001</v>
      </c>
      <c r="E3" s="4">
        <v>0.99309999999999998</v>
      </c>
      <c r="F3" s="4">
        <v>0.99309999999999998</v>
      </c>
      <c r="G3" s="4">
        <v>0.96040000000000003</v>
      </c>
      <c r="H3" s="4">
        <v>0.97070000000000001</v>
      </c>
      <c r="I3" s="4">
        <v>0.96660000000000001</v>
      </c>
      <c r="J3" s="4">
        <v>0.96550000000000002</v>
      </c>
    </row>
    <row r="4" spans="1:10" x14ac:dyDescent="0.4">
      <c r="A4" s="1" t="s">
        <v>10</v>
      </c>
      <c r="B4" s="1" t="s">
        <v>11</v>
      </c>
      <c r="C4" s="1">
        <v>2025</v>
      </c>
      <c r="D4" s="4">
        <v>0.99480000000000002</v>
      </c>
      <c r="E4" s="4">
        <v>0.99429999999999996</v>
      </c>
      <c r="F4" s="4">
        <v>0.99429999999999996</v>
      </c>
      <c r="G4" s="4">
        <v>0.95340000000000003</v>
      </c>
      <c r="H4" s="4">
        <v>0.98129999999999995</v>
      </c>
      <c r="I4" s="4">
        <v>0.96789999999999998</v>
      </c>
      <c r="J4" s="4">
        <v>0.96709999999999996</v>
      </c>
    </row>
    <row r="5" spans="1:10" x14ac:dyDescent="0.4">
      <c r="A5" s="1" t="s">
        <v>10</v>
      </c>
      <c r="B5" s="1" t="s">
        <v>11</v>
      </c>
      <c r="C5" s="1">
        <v>12345</v>
      </c>
      <c r="D5" s="4">
        <v>0.99480000000000002</v>
      </c>
      <c r="E5" s="4">
        <v>0.99460000000000004</v>
      </c>
      <c r="F5" s="4">
        <v>0.99460000000000004</v>
      </c>
      <c r="G5" s="4">
        <v>0.97319999999999995</v>
      </c>
      <c r="H5" s="4">
        <v>0.96799999999999997</v>
      </c>
      <c r="I5" s="4">
        <v>0.9718</v>
      </c>
      <c r="J5" s="4">
        <v>0.97060000000000002</v>
      </c>
    </row>
    <row r="6" spans="1:10" x14ac:dyDescent="0.4">
      <c r="A6" s="1" t="s">
        <v>10</v>
      </c>
      <c r="B6" s="1" t="s">
        <v>11</v>
      </c>
      <c r="C6" s="1">
        <v>666</v>
      </c>
      <c r="D6" s="4">
        <v>0.99150000000000005</v>
      </c>
      <c r="E6" s="4">
        <v>0.99150000000000005</v>
      </c>
      <c r="F6" s="4">
        <v>0.99150000000000005</v>
      </c>
      <c r="G6" s="4">
        <v>0.95789999999999997</v>
      </c>
      <c r="H6" s="4">
        <v>0.97070000000000001</v>
      </c>
      <c r="I6" s="4">
        <v>0.96530000000000005</v>
      </c>
      <c r="J6" s="4">
        <v>0.96419999999999995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0.9938±0.0014</v>
      </c>
      <c r="E7" t="str">
        <f t="shared" ref="E7:J7" si="0" xml:space="preserve"> TEXT(AVERAGE(E2:E6),"0.0000") &amp; "±" &amp; TEXT(_xlfn.STDEV.S(E2:E6),"0.0000")</f>
        <v>0.9935±0.0012</v>
      </c>
      <c r="F7" t="str">
        <f t="shared" si="0"/>
        <v>0.9935±0.0012</v>
      </c>
      <c r="G7" t="str">
        <f t="shared" si="0"/>
        <v>0.9636±0.0091</v>
      </c>
      <c r="H7" t="str">
        <f t="shared" si="0"/>
        <v>0.9712±0.0061</v>
      </c>
      <c r="I7" t="str">
        <f t="shared" si="0"/>
        <v>0.9684±0.0027</v>
      </c>
      <c r="J7" t="str">
        <f t="shared" si="0"/>
        <v>0.9673±0.0026</v>
      </c>
    </row>
    <row r="8" spans="1:10" x14ac:dyDescent="0.4">
      <c r="A8" s="1" t="s">
        <v>10</v>
      </c>
      <c r="B8" s="1" t="s">
        <v>12</v>
      </c>
      <c r="C8" s="1">
        <v>42</v>
      </c>
      <c r="D8" s="4">
        <v>0.96160000000000001</v>
      </c>
      <c r="E8" s="4">
        <v>0.9516</v>
      </c>
      <c r="F8" s="4">
        <v>0.95169999999999999</v>
      </c>
      <c r="G8" s="4">
        <v>0.87390000000000001</v>
      </c>
      <c r="H8" s="4">
        <v>0.86109999999999998</v>
      </c>
      <c r="I8" s="4">
        <v>0.8901</v>
      </c>
      <c r="J8" s="4">
        <v>0.86739999999999995</v>
      </c>
    </row>
    <row r="9" spans="1:10" x14ac:dyDescent="0.4">
      <c r="A9" s="1" t="s">
        <v>10</v>
      </c>
      <c r="B9" s="1" t="s">
        <v>12</v>
      </c>
      <c r="C9" s="1">
        <v>1234</v>
      </c>
      <c r="D9" s="4">
        <v>0.95409999999999995</v>
      </c>
      <c r="E9" s="4">
        <v>0.94210000000000005</v>
      </c>
      <c r="F9" s="4">
        <v>0.94210000000000005</v>
      </c>
      <c r="G9" s="4">
        <v>0.86650000000000005</v>
      </c>
      <c r="H9" s="4">
        <v>0.86109999999999998</v>
      </c>
      <c r="I9" s="4">
        <v>0.88649999999999995</v>
      </c>
      <c r="J9" s="4">
        <v>0.86380000000000001</v>
      </c>
    </row>
    <row r="10" spans="1:10" x14ac:dyDescent="0.4">
      <c r="A10" s="1" t="s">
        <v>10</v>
      </c>
      <c r="B10" s="1" t="s">
        <v>12</v>
      </c>
      <c r="C10" s="1">
        <v>2025</v>
      </c>
      <c r="D10" s="4">
        <v>0.96160000000000001</v>
      </c>
      <c r="E10" s="4">
        <v>0.94989999999999997</v>
      </c>
      <c r="F10" s="4">
        <v>0.95</v>
      </c>
      <c r="G10" s="4">
        <v>0.90180000000000005</v>
      </c>
      <c r="H10" s="4">
        <v>0.83160000000000001</v>
      </c>
      <c r="I10" s="4">
        <v>0.89180000000000004</v>
      </c>
      <c r="J10" s="4">
        <v>0.86529999999999996</v>
      </c>
    </row>
    <row r="11" spans="1:10" x14ac:dyDescent="0.4">
      <c r="A11" s="1" t="s">
        <v>10</v>
      </c>
      <c r="B11" s="1" t="s">
        <v>12</v>
      </c>
      <c r="C11" s="1">
        <v>12345</v>
      </c>
      <c r="D11" s="4">
        <v>0.95740000000000003</v>
      </c>
      <c r="E11" s="4">
        <v>0.94179999999999997</v>
      </c>
      <c r="F11" s="4">
        <v>0.94189999999999996</v>
      </c>
      <c r="G11" s="4">
        <v>0.87829999999999997</v>
      </c>
      <c r="H11" s="4">
        <v>0.85050000000000003</v>
      </c>
      <c r="I11" s="4">
        <v>0.88829999999999998</v>
      </c>
      <c r="J11" s="4">
        <v>0.86419999999999997</v>
      </c>
    </row>
    <row r="12" spans="1:10" x14ac:dyDescent="0.4">
      <c r="A12" s="1" t="s">
        <v>10</v>
      </c>
      <c r="B12" s="1" t="s">
        <v>12</v>
      </c>
      <c r="C12" s="1">
        <v>666</v>
      </c>
      <c r="D12" s="4">
        <v>0.93959999999999999</v>
      </c>
      <c r="E12" s="4">
        <v>0.92149999999999999</v>
      </c>
      <c r="F12" s="4">
        <v>0.92159999999999997</v>
      </c>
      <c r="G12" s="4">
        <v>0.86539999999999995</v>
      </c>
      <c r="H12" s="4">
        <v>0.85260000000000002</v>
      </c>
      <c r="I12" s="4">
        <v>0.88300000000000001</v>
      </c>
      <c r="J12" s="4">
        <v>0.85899999999999999</v>
      </c>
    </row>
    <row r="13" spans="1:10" x14ac:dyDescent="0.4">
      <c r="A13" s="1"/>
      <c r="B13" s="1"/>
      <c r="C13" s="1"/>
      <c r="D13" t="str">
        <f xml:space="preserve"> TEXT(AVERAGE(D8:D12),"0.0000") &amp; "±" &amp; TEXT(_xlfn.STDEV.S(D8:D12),"0.0000")</f>
        <v>0.9549±0.0091</v>
      </c>
      <c r="E13" t="str">
        <f t="shared" ref="E13:J13" si="1" xml:space="preserve"> TEXT(AVERAGE(E8:E12),"0.0000") &amp; "±" &amp; TEXT(_xlfn.STDEV.S(E8:E12),"0.0000")</f>
        <v>0.9414±0.0120</v>
      </c>
      <c r="F13" t="str">
        <f t="shared" si="1"/>
        <v>0.9415±0.0120</v>
      </c>
      <c r="G13" t="str">
        <f t="shared" si="1"/>
        <v>0.8772±0.0148</v>
      </c>
      <c r="H13" t="str">
        <f t="shared" si="1"/>
        <v>0.8514±0.0121</v>
      </c>
      <c r="I13" t="str">
        <f t="shared" si="1"/>
        <v>0.8879±0.0034</v>
      </c>
      <c r="J13" t="str">
        <f t="shared" si="1"/>
        <v>0.8639±0.0031</v>
      </c>
    </row>
    <row r="14" spans="1:10" x14ac:dyDescent="0.4">
      <c r="A14" s="1" t="s">
        <v>10</v>
      </c>
      <c r="B14" s="1" t="s">
        <v>13</v>
      </c>
      <c r="C14" s="1">
        <v>42</v>
      </c>
      <c r="D14" s="4">
        <v>0.9536</v>
      </c>
      <c r="E14" s="4">
        <v>0.96679999999999999</v>
      </c>
      <c r="F14" s="4">
        <v>0.96679999999999999</v>
      </c>
      <c r="G14" s="4">
        <v>0.96830000000000005</v>
      </c>
      <c r="H14" s="4">
        <v>0.79459999999999997</v>
      </c>
      <c r="I14" s="4">
        <v>0.8679</v>
      </c>
      <c r="J14" s="4">
        <v>0.87290000000000001</v>
      </c>
    </row>
    <row r="15" spans="1:10" x14ac:dyDescent="0.4">
      <c r="A15" s="1" t="s">
        <v>10</v>
      </c>
      <c r="B15" s="1" t="s">
        <v>13</v>
      </c>
      <c r="C15" s="1">
        <v>1234</v>
      </c>
      <c r="D15" s="4">
        <v>0.97019999999999995</v>
      </c>
      <c r="E15" s="4">
        <v>0.97640000000000005</v>
      </c>
      <c r="F15" s="4">
        <v>0.97640000000000005</v>
      </c>
      <c r="G15" s="4">
        <v>0.95660000000000001</v>
      </c>
      <c r="H15" s="4">
        <v>0.88100000000000001</v>
      </c>
      <c r="I15" s="4">
        <v>0.9093</v>
      </c>
      <c r="J15" s="4">
        <v>0.9173</v>
      </c>
    </row>
    <row r="16" spans="1:10" x14ac:dyDescent="0.4">
      <c r="A16" s="1" t="s">
        <v>10</v>
      </c>
      <c r="B16" s="1" t="s">
        <v>13</v>
      </c>
      <c r="C16" s="1">
        <v>2025</v>
      </c>
      <c r="D16" s="4">
        <v>0.9637</v>
      </c>
      <c r="E16" s="4">
        <v>0.9728</v>
      </c>
      <c r="F16" s="4">
        <v>0.9728</v>
      </c>
      <c r="G16" s="4">
        <v>0.96779999999999999</v>
      </c>
      <c r="H16" s="4">
        <v>0.81040000000000001</v>
      </c>
      <c r="I16" s="4">
        <v>0.87639999999999996</v>
      </c>
      <c r="J16" s="4">
        <v>0.8821</v>
      </c>
    </row>
    <row r="17" spans="1:10" x14ac:dyDescent="0.4">
      <c r="A17" s="1" t="s">
        <v>10</v>
      </c>
      <c r="B17" s="1" t="s">
        <v>13</v>
      </c>
      <c r="C17" s="1">
        <v>12345</v>
      </c>
      <c r="D17" s="4">
        <v>0.96599999999999997</v>
      </c>
      <c r="E17" s="4">
        <v>0.9738</v>
      </c>
      <c r="F17" s="4">
        <v>0.97389999999999999</v>
      </c>
      <c r="G17" s="4">
        <v>0.96919999999999995</v>
      </c>
      <c r="H17" s="4">
        <v>0.81779999999999997</v>
      </c>
      <c r="I17" s="4">
        <v>0.88119999999999998</v>
      </c>
      <c r="J17" s="4">
        <v>0.8871</v>
      </c>
    </row>
    <row r="18" spans="1:10" x14ac:dyDescent="0.4">
      <c r="A18" s="1" t="s">
        <v>10</v>
      </c>
      <c r="B18" s="1" t="s">
        <v>13</v>
      </c>
      <c r="C18" s="1">
        <v>666</v>
      </c>
      <c r="D18" s="4">
        <v>0.97060000000000002</v>
      </c>
      <c r="E18" s="4">
        <v>0.97619999999999996</v>
      </c>
      <c r="F18" s="4">
        <v>0.97619999999999996</v>
      </c>
      <c r="G18" s="4">
        <v>0.96360000000000001</v>
      </c>
      <c r="H18" s="4">
        <v>0.88570000000000004</v>
      </c>
      <c r="I18" s="4">
        <v>0.91559999999999997</v>
      </c>
      <c r="J18" s="4">
        <v>0.92300000000000004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0.9648±0.0069</v>
      </c>
      <c r="E19" t="str">
        <f t="shared" ref="E19:J19" si="2" xml:space="preserve"> TEXT(AVERAGE(E14:E18),"0.0000") &amp; "±" &amp; TEXT(_xlfn.STDEV.S(E14:E18),"0.0000")</f>
        <v>0.9732±0.0039</v>
      </c>
      <c r="F19" t="str">
        <f t="shared" si="2"/>
        <v>0.9732±0.0039</v>
      </c>
      <c r="G19" t="str">
        <f t="shared" si="2"/>
        <v>0.9651±0.0052</v>
      </c>
      <c r="H19" t="str">
        <f t="shared" si="2"/>
        <v>0.8379±0.0424</v>
      </c>
      <c r="I19" t="str">
        <f t="shared" si="2"/>
        <v>0.8901±0.0211</v>
      </c>
      <c r="J19" t="str">
        <f t="shared" si="2"/>
        <v>0.8965±0.0223</v>
      </c>
    </row>
    <row r="20" spans="1:10" x14ac:dyDescent="0.4">
      <c r="A20" s="1" t="s">
        <v>10</v>
      </c>
      <c r="B20" s="1" t="s">
        <v>14</v>
      </c>
      <c r="C20" s="1">
        <v>42</v>
      </c>
      <c r="D20" s="4">
        <v>0.99690000000000001</v>
      </c>
      <c r="E20" s="4">
        <v>0.99719999999999998</v>
      </c>
      <c r="F20" s="4">
        <v>0.99719999999999998</v>
      </c>
      <c r="G20" s="4">
        <v>0.94810000000000005</v>
      </c>
      <c r="H20" s="4">
        <v>0.97989999999999999</v>
      </c>
      <c r="I20" s="4">
        <v>0.96230000000000004</v>
      </c>
      <c r="J20" s="4">
        <v>0.9637</v>
      </c>
    </row>
    <row r="21" spans="1:10" x14ac:dyDescent="0.4">
      <c r="A21" s="1" t="s">
        <v>10</v>
      </c>
      <c r="B21" s="1" t="s">
        <v>14</v>
      </c>
      <c r="C21" s="1">
        <v>1234</v>
      </c>
      <c r="D21" s="4">
        <v>0.996</v>
      </c>
      <c r="E21" s="4">
        <v>0.99660000000000004</v>
      </c>
      <c r="F21" s="4">
        <v>0.99660000000000004</v>
      </c>
      <c r="G21" s="4">
        <v>0.99319999999999997</v>
      </c>
      <c r="H21" s="4">
        <v>0.97319999999999995</v>
      </c>
      <c r="I21" s="4">
        <v>0.9829</v>
      </c>
      <c r="J21" s="4">
        <v>0.98299999999999998</v>
      </c>
    </row>
    <row r="22" spans="1:10" x14ac:dyDescent="0.4">
      <c r="A22" s="1" t="s">
        <v>10</v>
      </c>
      <c r="B22" s="1" t="s">
        <v>14</v>
      </c>
      <c r="C22" s="1">
        <v>2025</v>
      </c>
      <c r="D22" s="4">
        <v>0.99639999999999995</v>
      </c>
      <c r="E22" s="4">
        <v>0.99680000000000002</v>
      </c>
      <c r="F22" s="4">
        <v>0.99680000000000002</v>
      </c>
      <c r="G22" s="4">
        <v>0.96</v>
      </c>
      <c r="H22" s="4">
        <v>0.96640000000000004</v>
      </c>
      <c r="I22" s="4">
        <v>0.96230000000000004</v>
      </c>
      <c r="J22" s="4">
        <v>0.96319999999999995</v>
      </c>
    </row>
    <row r="23" spans="1:10" x14ac:dyDescent="0.4">
      <c r="A23" s="1" t="s">
        <v>10</v>
      </c>
      <c r="B23" s="1" t="s">
        <v>14</v>
      </c>
      <c r="C23" s="1">
        <v>12345</v>
      </c>
      <c r="D23" s="4">
        <v>0.99680000000000002</v>
      </c>
      <c r="E23" s="4">
        <v>0.997</v>
      </c>
      <c r="F23" s="4">
        <v>0.997</v>
      </c>
      <c r="G23" s="4">
        <v>0.96709999999999996</v>
      </c>
      <c r="H23" s="4">
        <v>0.98660000000000003</v>
      </c>
      <c r="I23" s="4">
        <v>0.97599999999999998</v>
      </c>
      <c r="J23" s="4">
        <v>0.97670000000000001</v>
      </c>
    </row>
    <row r="24" spans="1:10" x14ac:dyDescent="0.4">
      <c r="A24" s="1" t="s">
        <v>10</v>
      </c>
      <c r="B24" s="1" t="s">
        <v>14</v>
      </c>
      <c r="C24" s="1">
        <v>666</v>
      </c>
      <c r="D24" s="4">
        <v>0.99750000000000005</v>
      </c>
      <c r="E24" s="4">
        <v>0.99770000000000003</v>
      </c>
      <c r="F24" s="4">
        <v>0.99770000000000003</v>
      </c>
      <c r="G24" s="4">
        <v>0.95389999999999997</v>
      </c>
      <c r="H24" s="4">
        <v>0.97319999999999995</v>
      </c>
      <c r="I24" s="4">
        <v>0.96230000000000004</v>
      </c>
      <c r="J24" s="4">
        <v>0.96350000000000002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0.9967±0.0006</v>
      </c>
      <c r="E25" t="str">
        <f t="shared" ref="E25:J25" si="3" xml:space="preserve"> TEXT(AVERAGE(E20:E24),"0.0000") &amp; "±" &amp; TEXT(_xlfn.STDEV.S(E20:E24),"0.0000")</f>
        <v>0.9971±0.0004</v>
      </c>
      <c r="F25" t="str">
        <f t="shared" si="3"/>
        <v>0.9971±0.0004</v>
      </c>
      <c r="G25" t="str">
        <f t="shared" si="3"/>
        <v>0.9645±0.0176</v>
      </c>
      <c r="H25" t="str">
        <f t="shared" si="3"/>
        <v>0.9759±0.0077</v>
      </c>
      <c r="I25" t="str">
        <f t="shared" si="3"/>
        <v>0.9692±0.0097</v>
      </c>
      <c r="J25" t="str">
        <f t="shared" si="3"/>
        <v>0.9700±0.0092</v>
      </c>
    </row>
    <row r="26" spans="1:10" x14ac:dyDescent="0.4">
      <c r="A26" s="1" t="s">
        <v>10</v>
      </c>
      <c r="B26" s="1" t="s">
        <v>15</v>
      </c>
      <c r="C26" s="1">
        <v>42</v>
      </c>
      <c r="D26" s="4">
        <v>0.99919999999999998</v>
      </c>
      <c r="E26" s="4">
        <v>0.99939999999999996</v>
      </c>
      <c r="F26" s="4">
        <v>0.99939999999999996</v>
      </c>
      <c r="G26" s="4">
        <v>0.99280000000000002</v>
      </c>
      <c r="H26" s="4">
        <v>0.99280000000000002</v>
      </c>
      <c r="I26" s="4">
        <v>0.99199999999999999</v>
      </c>
      <c r="J26" s="4">
        <v>0.99280000000000002</v>
      </c>
    </row>
    <row r="27" spans="1:10" x14ac:dyDescent="0.4">
      <c r="A27" s="1" t="s">
        <v>10</v>
      </c>
      <c r="B27" s="1" t="s">
        <v>15</v>
      </c>
      <c r="C27" s="1">
        <v>1234</v>
      </c>
      <c r="D27" s="4">
        <v>0.998</v>
      </c>
      <c r="E27" s="4">
        <v>0.99819999999999998</v>
      </c>
      <c r="F27" s="4">
        <v>0.99829999999999997</v>
      </c>
      <c r="G27" s="4">
        <v>0.99260000000000004</v>
      </c>
      <c r="H27" s="4">
        <v>0.96399999999999997</v>
      </c>
      <c r="I27" s="4">
        <v>0.97599999999999998</v>
      </c>
      <c r="J27" s="4">
        <v>0.97809999999999997</v>
      </c>
    </row>
    <row r="28" spans="1:10" x14ac:dyDescent="0.4">
      <c r="A28" s="1" t="s">
        <v>10</v>
      </c>
      <c r="B28" s="1" t="s">
        <v>15</v>
      </c>
      <c r="C28" s="1">
        <v>2025</v>
      </c>
      <c r="D28" s="4">
        <v>0.99460000000000004</v>
      </c>
      <c r="E28" s="4">
        <v>0.99460000000000004</v>
      </c>
      <c r="F28" s="4">
        <v>0.99460000000000004</v>
      </c>
      <c r="G28" s="4">
        <v>0.99250000000000005</v>
      </c>
      <c r="H28" s="4">
        <v>0.95679999999999998</v>
      </c>
      <c r="I28" s="4">
        <v>0.97199999999999998</v>
      </c>
      <c r="J28" s="4">
        <v>0.97440000000000004</v>
      </c>
    </row>
    <row r="29" spans="1:10" x14ac:dyDescent="0.4">
      <c r="A29" s="1" t="s">
        <v>10</v>
      </c>
      <c r="B29" s="1" t="s">
        <v>15</v>
      </c>
      <c r="C29" s="1">
        <v>12345</v>
      </c>
      <c r="D29" s="4">
        <v>0.99829999999999997</v>
      </c>
      <c r="E29" s="4">
        <v>0.99870000000000003</v>
      </c>
      <c r="F29" s="4">
        <v>0.99870000000000003</v>
      </c>
      <c r="G29" s="4">
        <v>0.99250000000000005</v>
      </c>
      <c r="H29" s="4">
        <v>0.95679999999999998</v>
      </c>
      <c r="I29" s="4">
        <v>0.97199999999999998</v>
      </c>
      <c r="J29" s="4">
        <v>0.97440000000000004</v>
      </c>
    </row>
    <row r="30" spans="1:10" x14ac:dyDescent="0.4">
      <c r="A30" s="1" t="s">
        <v>10</v>
      </c>
      <c r="B30" s="1" t="s">
        <v>15</v>
      </c>
      <c r="C30" s="1">
        <v>666</v>
      </c>
      <c r="D30" s="4">
        <v>0.99790000000000001</v>
      </c>
      <c r="E30" s="4">
        <v>0.99829999999999997</v>
      </c>
      <c r="F30" s="4">
        <v>0.99829999999999997</v>
      </c>
      <c r="G30" s="4">
        <v>0.99219999999999997</v>
      </c>
      <c r="H30" s="4">
        <v>0.91369999999999996</v>
      </c>
      <c r="I30" s="4">
        <v>0.94799999999999995</v>
      </c>
      <c r="J30" s="4">
        <v>0.95130000000000003</v>
      </c>
    </row>
    <row r="31" spans="1:10" x14ac:dyDescent="0.4">
      <c r="D31" t="str">
        <f xml:space="preserve"> TEXT(AVERAGE(D26:D30),"0.0000") &amp; "±" &amp; TEXT(_xlfn.STDEV.S(D26:D30),"0.0000")</f>
        <v>0.9976±0.0018</v>
      </c>
      <c r="E31" t="str">
        <f t="shared" ref="E31:J31" si="4" xml:space="preserve"> TEXT(AVERAGE(E26:E30),"0.0000") &amp; "±" &amp; TEXT(_xlfn.STDEV.S(E26:E30),"0.0000")</f>
        <v>0.9978±0.0019</v>
      </c>
      <c r="F31" t="str">
        <f t="shared" si="4"/>
        <v>0.9979±0.0019</v>
      </c>
      <c r="G31" t="str">
        <f t="shared" si="4"/>
        <v>0.9925±0.0002</v>
      </c>
      <c r="H31" t="str">
        <f t="shared" si="4"/>
        <v>0.9568±0.0283</v>
      </c>
      <c r="I31" t="str">
        <f t="shared" si="4"/>
        <v>0.9720±0.0157</v>
      </c>
      <c r="J31" t="str">
        <f t="shared" si="4"/>
        <v>0.9742±0.0149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8A1-466E-4044-9083-70D3ABB3121B}">
  <dimension ref="A1:J31"/>
  <sheetViews>
    <sheetView topLeftCell="A9" workbookViewId="0">
      <selection activeCell="D1" sqref="D1:J32"/>
    </sheetView>
  </sheetViews>
  <sheetFormatPr defaultRowHeight="18.75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16</v>
      </c>
      <c r="B2" s="1" t="s">
        <v>11</v>
      </c>
      <c r="C2" s="1">
        <v>42</v>
      </c>
      <c r="D2" s="4">
        <v>0.98680000000000001</v>
      </c>
      <c r="E2" s="4">
        <v>0.99109999999999998</v>
      </c>
      <c r="F2" s="4">
        <v>0.99109999999999998</v>
      </c>
      <c r="G2" s="4">
        <v>0.98740000000000006</v>
      </c>
      <c r="H2" s="4">
        <v>0.89939999999999998</v>
      </c>
      <c r="I2" s="4">
        <v>0.94210000000000005</v>
      </c>
      <c r="J2" s="4">
        <v>0.94130000000000003</v>
      </c>
    </row>
    <row r="3" spans="1:10" x14ac:dyDescent="0.4">
      <c r="A3" s="2" t="s">
        <v>16</v>
      </c>
      <c r="B3" s="1" t="s">
        <v>11</v>
      </c>
      <c r="C3" s="1">
        <v>1234</v>
      </c>
      <c r="D3" s="4">
        <v>0.98680000000000001</v>
      </c>
      <c r="E3" s="4">
        <v>0.99099999999999999</v>
      </c>
      <c r="F3" s="4">
        <v>0.99099999999999999</v>
      </c>
      <c r="G3" s="4">
        <v>0.96030000000000004</v>
      </c>
      <c r="H3" s="4">
        <v>0.97409999999999997</v>
      </c>
      <c r="I3" s="4">
        <v>0.96579999999999999</v>
      </c>
      <c r="J3" s="4">
        <v>0.96719999999999995</v>
      </c>
    </row>
    <row r="4" spans="1:10" x14ac:dyDescent="0.4">
      <c r="A4" s="2" t="s">
        <v>16</v>
      </c>
      <c r="B4" s="1" t="s">
        <v>11</v>
      </c>
      <c r="C4" s="1">
        <v>2025</v>
      </c>
      <c r="D4" s="4">
        <v>0.98839999999999995</v>
      </c>
      <c r="E4" s="4">
        <v>0.99180000000000001</v>
      </c>
      <c r="F4" s="4">
        <v>0.99180000000000001</v>
      </c>
      <c r="G4" s="4">
        <v>0.99370000000000003</v>
      </c>
      <c r="H4" s="4">
        <v>0.91090000000000004</v>
      </c>
      <c r="I4" s="4">
        <v>0.95099999999999996</v>
      </c>
      <c r="J4" s="4">
        <v>0.95050000000000001</v>
      </c>
    </row>
    <row r="5" spans="1:10" x14ac:dyDescent="0.4">
      <c r="A5" s="2" t="s">
        <v>16</v>
      </c>
      <c r="B5" s="1" t="s">
        <v>11</v>
      </c>
      <c r="C5" s="1">
        <v>12345</v>
      </c>
      <c r="D5" s="4">
        <v>0.9879</v>
      </c>
      <c r="E5" s="4">
        <v>0.99129999999999996</v>
      </c>
      <c r="F5" s="4">
        <v>0.99129999999999996</v>
      </c>
      <c r="G5" s="4">
        <v>0.97299999999999998</v>
      </c>
      <c r="H5" s="4">
        <v>0.93100000000000005</v>
      </c>
      <c r="I5" s="4">
        <v>0.95099999999999996</v>
      </c>
      <c r="J5" s="4">
        <v>0.95150000000000001</v>
      </c>
    </row>
    <row r="6" spans="1:10" x14ac:dyDescent="0.4">
      <c r="A6" s="2" t="s">
        <v>16</v>
      </c>
      <c r="B6" s="1" t="s">
        <v>11</v>
      </c>
      <c r="C6" s="1">
        <v>666</v>
      </c>
      <c r="D6" s="4">
        <v>0.98509999999999998</v>
      </c>
      <c r="E6" s="4">
        <v>0.98860000000000003</v>
      </c>
      <c r="F6" s="4">
        <v>0.98860000000000003</v>
      </c>
      <c r="G6" s="4">
        <v>0.96299999999999997</v>
      </c>
      <c r="H6" s="4">
        <v>0.97130000000000005</v>
      </c>
      <c r="I6" s="4">
        <v>0.96579999999999999</v>
      </c>
      <c r="J6" s="4">
        <v>0.96709999999999996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0.9870±0.0013</v>
      </c>
      <c r="E7" t="str">
        <f t="shared" ref="E7:J7" si="0" xml:space="preserve"> TEXT(AVERAGE(E2:E6),"0.0000") &amp; "±" &amp; TEXT(_xlfn.STDEV.S(E2:E6),"0.0000")</f>
        <v>0.9908±0.0012</v>
      </c>
      <c r="F7" t="str">
        <f t="shared" si="0"/>
        <v>0.9908±0.0012</v>
      </c>
      <c r="G7" t="str">
        <f t="shared" si="0"/>
        <v>0.9755±0.0147</v>
      </c>
      <c r="H7" t="str">
        <f t="shared" si="0"/>
        <v>0.9373±0.0342</v>
      </c>
      <c r="I7" t="str">
        <f t="shared" si="0"/>
        <v>0.9551±0.0104</v>
      </c>
      <c r="J7" t="str">
        <f t="shared" si="0"/>
        <v>0.9555±0.0113</v>
      </c>
    </row>
    <row r="8" spans="1:10" x14ac:dyDescent="0.4">
      <c r="A8" s="2" t="s">
        <v>16</v>
      </c>
      <c r="B8" s="1" t="s">
        <v>12</v>
      </c>
      <c r="C8" s="1">
        <v>42</v>
      </c>
      <c r="D8" s="4">
        <v>0.92059999999999997</v>
      </c>
      <c r="E8" s="4">
        <v>0.90449999999999997</v>
      </c>
      <c r="F8" s="4">
        <v>0.90459999999999996</v>
      </c>
      <c r="G8" s="4">
        <v>0.8155</v>
      </c>
      <c r="H8" s="4">
        <v>0.81689999999999996</v>
      </c>
      <c r="I8" s="4">
        <v>0.83979999999999999</v>
      </c>
      <c r="J8" s="4">
        <v>0.81620000000000004</v>
      </c>
    </row>
    <row r="9" spans="1:10" x14ac:dyDescent="0.4">
      <c r="A9" s="2" t="s">
        <v>16</v>
      </c>
      <c r="B9" s="1" t="s">
        <v>12</v>
      </c>
      <c r="C9" s="1">
        <v>1234</v>
      </c>
      <c r="D9" s="4">
        <v>0.9274</v>
      </c>
      <c r="E9" s="4">
        <v>0.91259999999999997</v>
      </c>
      <c r="F9" s="4">
        <v>0.91269999999999996</v>
      </c>
      <c r="G9" s="4">
        <v>0.76890000000000003</v>
      </c>
      <c r="H9" s="4">
        <v>0.91359999999999997</v>
      </c>
      <c r="I9" s="4">
        <v>0.84289999999999998</v>
      </c>
      <c r="J9" s="4">
        <v>0.83499999999999996</v>
      </c>
    </row>
    <row r="10" spans="1:10" x14ac:dyDescent="0.4">
      <c r="A10" s="2" t="s">
        <v>16</v>
      </c>
      <c r="B10" s="1" t="s">
        <v>12</v>
      </c>
      <c r="C10" s="1">
        <v>2025</v>
      </c>
      <c r="D10" s="4">
        <v>0.91769999999999996</v>
      </c>
      <c r="E10" s="4">
        <v>0.90529999999999999</v>
      </c>
      <c r="F10" s="4">
        <v>0.90539999999999998</v>
      </c>
      <c r="G10" s="4">
        <v>0.81389999999999996</v>
      </c>
      <c r="H10" s="4">
        <v>0.77029999999999998</v>
      </c>
      <c r="I10" s="4">
        <v>0.82330000000000003</v>
      </c>
      <c r="J10" s="4">
        <v>0.79149999999999998</v>
      </c>
    </row>
    <row r="11" spans="1:10" x14ac:dyDescent="0.4">
      <c r="A11" s="2" t="s">
        <v>16</v>
      </c>
      <c r="B11" s="1" t="s">
        <v>12</v>
      </c>
      <c r="C11" s="1">
        <v>12345</v>
      </c>
      <c r="D11" s="4">
        <v>0.91749999999999998</v>
      </c>
      <c r="E11" s="4">
        <v>0.90400000000000003</v>
      </c>
      <c r="F11" s="4">
        <v>0.90400000000000003</v>
      </c>
      <c r="G11" s="4">
        <v>0.80989999999999995</v>
      </c>
      <c r="H11" s="4">
        <v>0.81689999999999996</v>
      </c>
      <c r="I11" s="4">
        <v>0.83679999999999999</v>
      </c>
      <c r="J11" s="4">
        <v>0.81340000000000001</v>
      </c>
    </row>
    <row r="12" spans="1:10" x14ac:dyDescent="0.4">
      <c r="A12" s="2" t="s">
        <v>16</v>
      </c>
      <c r="B12" s="1" t="s">
        <v>12</v>
      </c>
      <c r="C12" s="1">
        <v>666</v>
      </c>
      <c r="D12" s="4">
        <v>0.90400000000000003</v>
      </c>
      <c r="E12" s="4">
        <v>0.89500000000000002</v>
      </c>
      <c r="F12" s="4">
        <v>0.89510000000000001</v>
      </c>
      <c r="G12" s="4">
        <v>0.81710000000000005</v>
      </c>
      <c r="H12" s="4">
        <v>0.72540000000000004</v>
      </c>
      <c r="I12" s="4">
        <v>0.80979999999999996</v>
      </c>
      <c r="J12" s="4">
        <v>0.76849999999999996</v>
      </c>
    </row>
    <row r="13" spans="1:10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0.9174±0.0085</v>
      </c>
      <c r="E13" t="str">
        <f t="shared" si="1"/>
        <v>0.9043±0.0063</v>
      </c>
      <c r="F13" t="str">
        <f t="shared" si="1"/>
        <v>0.9044±0.0063</v>
      </c>
      <c r="G13" t="str">
        <f t="shared" si="1"/>
        <v>0.8051±0.0204</v>
      </c>
      <c r="H13" t="str">
        <f t="shared" si="1"/>
        <v>0.8086±0.0699</v>
      </c>
      <c r="I13" t="str">
        <f t="shared" si="1"/>
        <v>0.8305±0.0138</v>
      </c>
      <c r="J13" t="str">
        <f t="shared" si="1"/>
        <v>0.8049±0.0255</v>
      </c>
    </row>
    <row r="14" spans="1:10" x14ac:dyDescent="0.4">
      <c r="A14" s="2" t="s">
        <v>16</v>
      </c>
      <c r="B14" s="1" t="s">
        <v>13</v>
      </c>
      <c r="C14" s="1">
        <v>42</v>
      </c>
      <c r="D14" s="4">
        <v>0.97050000000000003</v>
      </c>
      <c r="E14" s="4">
        <v>0.95940000000000003</v>
      </c>
      <c r="F14" s="4">
        <v>0.95940000000000003</v>
      </c>
      <c r="G14" s="4">
        <v>0.9335</v>
      </c>
      <c r="H14" s="4">
        <v>0.88100000000000001</v>
      </c>
      <c r="I14" s="4">
        <v>0.92710000000000004</v>
      </c>
      <c r="J14" s="4">
        <v>0.90649999999999997</v>
      </c>
    </row>
    <row r="15" spans="1:10" x14ac:dyDescent="0.4">
      <c r="A15" s="2" t="s">
        <v>16</v>
      </c>
      <c r="B15" s="1" t="s">
        <v>13</v>
      </c>
      <c r="C15" s="1">
        <v>1234</v>
      </c>
      <c r="D15" s="4">
        <v>0.97030000000000005</v>
      </c>
      <c r="E15" s="4">
        <v>0.96319999999999995</v>
      </c>
      <c r="F15" s="4">
        <v>0.96330000000000005</v>
      </c>
      <c r="G15" s="4">
        <v>0.96040000000000003</v>
      </c>
      <c r="H15" s="4">
        <v>0.83979999999999999</v>
      </c>
      <c r="I15" s="4">
        <v>0.92190000000000005</v>
      </c>
      <c r="J15" s="4">
        <v>0.89610000000000001</v>
      </c>
    </row>
    <row r="16" spans="1:10" x14ac:dyDescent="0.4">
      <c r="A16" s="2" t="s">
        <v>16</v>
      </c>
      <c r="B16" s="1" t="s">
        <v>13</v>
      </c>
      <c r="C16" s="1">
        <v>2025</v>
      </c>
      <c r="D16" s="4">
        <v>0.97330000000000005</v>
      </c>
      <c r="E16" s="4">
        <v>0.95820000000000005</v>
      </c>
      <c r="F16" s="4">
        <v>0.95830000000000004</v>
      </c>
      <c r="G16" s="4">
        <v>0.91049999999999998</v>
      </c>
      <c r="H16" s="4">
        <v>0.90259999999999996</v>
      </c>
      <c r="I16" s="4">
        <v>0.9254</v>
      </c>
      <c r="J16" s="4">
        <v>0.90649999999999997</v>
      </c>
    </row>
    <row r="17" spans="1:10" x14ac:dyDescent="0.4">
      <c r="A17" s="2" t="s">
        <v>16</v>
      </c>
      <c r="B17" s="1" t="s">
        <v>13</v>
      </c>
      <c r="C17" s="1">
        <v>12345</v>
      </c>
      <c r="D17" s="4">
        <v>0.97189999999999999</v>
      </c>
      <c r="E17" s="4">
        <v>0.95730000000000004</v>
      </c>
      <c r="F17" s="4">
        <v>0.95730000000000004</v>
      </c>
      <c r="G17" s="4">
        <v>0.90229999999999999</v>
      </c>
      <c r="H17" s="4">
        <v>0.91990000000000005</v>
      </c>
      <c r="I17" s="4">
        <v>0.92800000000000005</v>
      </c>
      <c r="J17" s="4">
        <v>0.91100000000000003</v>
      </c>
    </row>
    <row r="18" spans="1:10" x14ac:dyDescent="0.4">
      <c r="A18" s="2" t="s">
        <v>16</v>
      </c>
      <c r="B18" s="1" t="s">
        <v>13</v>
      </c>
      <c r="C18" s="1">
        <v>666</v>
      </c>
      <c r="D18" s="4">
        <v>0.97640000000000005</v>
      </c>
      <c r="E18" s="4">
        <v>0.96889999999999998</v>
      </c>
      <c r="F18" s="4">
        <v>0.96899999999999997</v>
      </c>
      <c r="G18" s="4">
        <v>0.94169999999999998</v>
      </c>
      <c r="H18" s="4">
        <v>0.87450000000000006</v>
      </c>
      <c r="I18" s="4">
        <v>0.92800000000000005</v>
      </c>
      <c r="J18" s="4">
        <v>0.90680000000000005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0.9725±0.0025</v>
      </c>
      <c r="E19" t="str">
        <f t="shared" ref="E19:J19" si="2" xml:space="preserve"> TEXT(AVERAGE(E14:E18),"0.0000") &amp; "±" &amp; TEXT(_xlfn.STDEV.S(E14:E18),"0.0000")</f>
        <v>0.9614±0.0048</v>
      </c>
      <c r="F19" t="str">
        <f t="shared" si="2"/>
        <v>0.9615±0.0048</v>
      </c>
      <c r="G19" t="str">
        <f t="shared" si="2"/>
        <v>0.9297±0.0236</v>
      </c>
      <c r="H19" t="str">
        <f t="shared" si="2"/>
        <v>0.8836±0.0304</v>
      </c>
      <c r="I19" t="str">
        <f t="shared" si="2"/>
        <v>0.9261±0.0026</v>
      </c>
      <c r="J19" t="str">
        <f t="shared" si="2"/>
        <v>0.9054±0.0055</v>
      </c>
    </row>
    <row r="20" spans="1:10" x14ac:dyDescent="0.4">
      <c r="A20" s="2" t="s">
        <v>16</v>
      </c>
      <c r="B20" s="1" t="s">
        <v>14</v>
      </c>
      <c r="C20" s="1">
        <v>42</v>
      </c>
      <c r="D20" s="4">
        <v>0.98660000000000003</v>
      </c>
      <c r="E20" s="4">
        <v>0.96889999999999998</v>
      </c>
      <c r="F20" s="4">
        <v>0.96919999999999995</v>
      </c>
      <c r="G20" s="4">
        <v>0.9123</v>
      </c>
      <c r="H20" s="4">
        <v>0.92859999999999998</v>
      </c>
      <c r="I20" s="4">
        <v>0.9587</v>
      </c>
      <c r="J20" s="4">
        <v>0.92030000000000001</v>
      </c>
    </row>
    <row r="21" spans="1:10" x14ac:dyDescent="0.4">
      <c r="A21" s="2" t="s">
        <v>16</v>
      </c>
      <c r="B21" s="1" t="s">
        <v>14</v>
      </c>
      <c r="C21" s="1">
        <v>1234</v>
      </c>
      <c r="D21" s="4">
        <v>0.95940000000000003</v>
      </c>
      <c r="E21" s="4">
        <v>0.91269999999999996</v>
      </c>
      <c r="F21" s="4">
        <v>0.91369999999999996</v>
      </c>
      <c r="G21" s="4">
        <v>0.90739999999999998</v>
      </c>
      <c r="H21" s="4">
        <v>0.875</v>
      </c>
      <c r="I21" s="4">
        <v>0.94499999999999995</v>
      </c>
      <c r="J21" s="4">
        <v>0.89090000000000003</v>
      </c>
    </row>
    <row r="22" spans="1:10" x14ac:dyDescent="0.4">
      <c r="A22" s="2" t="s">
        <v>16</v>
      </c>
      <c r="B22" s="1" t="s">
        <v>14</v>
      </c>
      <c r="C22" s="1">
        <v>2025</v>
      </c>
      <c r="D22" s="4">
        <v>0.97270000000000001</v>
      </c>
      <c r="E22" s="4">
        <v>0.92830000000000001</v>
      </c>
      <c r="F22" s="4">
        <v>0.92949999999999999</v>
      </c>
      <c r="G22" s="4">
        <v>0.90569999999999995</v>
      </c>
      <c r="H22" s="4">
        <v>0.85709999999999997</v>
      </c>
      <c r="I22" s="4">
        <v>0.94040000000000001</v>
      </c>
      <c r="J22" s="4">
        <v>0.88070000000000004</v>
      </c>
    </row>
    <row r="23" spans="1:10" x14ac:dyDescent="0.4">
      <c r="A23" s="2" t="s">
        <v>16</v>
      </c>
      <c r="B23" s="1" t="s">
        <v>14</v>
      </c>
      <c r="C23" s="1">
        <v>12345</v>
      </c>
      <c r="D23" s="4">
        <v>0.97799999999999998</v>
      </c>
      <c r="E23" s="4">
        <v>0.94810000000000005</v>
      </c>
      <c r="F23" s="4">
        <v>0.9486</v>
      </c>
      <c r="G23" s="4">
        <v>0.89829999999999999</v>
      </c>
      <c r="H23" s="4">
        <v>0.94640000000000002</v>
      </c>
      <c r="I23" s="4">
        <v>0.9587</v>
      </c>
      <c r="J23" s="4">
        <v>0.92169999999999996</v>
      </c>
    </row>
    <row r="24" spans="1:10" x14ac:dyDescent="0.4">
      <c r="A24" s="2" t="s">
        <v>16</v>
      </c>
      <c r="B24" s="1" t="s">
        <v>14</v>
      </c>
      <c r="C24" s="1">
        <v>666</v>
      </c>
      <c r="D24" s="4">
        <v>0.98060000000000003</v>
      </c>
      <c r="E24" s="4">
        <v>0.94920000000000004</v>
      </c>
      <c r="F24" s="4">
        <v>0.94989999999999997</v>
      </c>
      <c r="G24" s="4">
        <v>0.9123</v>
      </c>
      <c r="H24" s="4">
        <v>0.92859999999999998</v>
      </c>
      <c r="I24" s="4">
        <v>0.9587</v>
      </c>
      <c r="J24" s="4">
        <v>0.92030000000000001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0.9755±0.0103</v>
      </c>
      <c r="E25" t="str">
        <f t="shared" ref="E25:J25" si="3" xml:space="preserve"> TEXT(AVERAGE(E20:E24),"0.0000") &amp; "±" &amp; TEXT(_xlfn.STDEV.S(E20:E24),"0.0000")</f>
        <v>0.9414±0.0215</v>
      </c>
      <c r="F25" t="str">
        <f t="shared" si="3"/>
        <v>0.9422±0.0212</v>
      </c>
      <c r="G25" t="str">
        <f t="shared" si="3"/>
        <v>0.9072±0.0058</v>
      </c>
      <c r="H25" t="str">
        <f t="shared" si="3"/>
        <v>0.9071±0.0387</v>
      </c>
      <c r="I25" t="str">
        <f t="shared" si="3"/>
        <v>0.9523±0.0089</v>
      </c>
      <c r="J25" t="str">
        <f t="shared" si="3"/>
        <v>0.9068±0.0195</v>
      </c>
    </row>
    <row r="26" spans="1:10" x14ac:dyDescent="0.4">
      <c r="A26" s="2" t="s">
        <v>16</v>
      </c>
      <c r="B26" s="1" t="s">
        <v>15</v>
      </c>
      <c r="C26" s="1">
        <v>42</v>
      </c>
      <c r="D26" s="4">
        <v>0.9849</v>
      </c>
      <c r="E26" s="4">
        <v>0.99050000000000005</v>
      </c>
      <c r="F26" s="4">
        <v>0.99050000000000005</v>
      </c>
      <c r="G26" s="4">
        <v>0.93630000000000002</v>
      </c>
      <c r="H26" s="4">
        <v>0.98450000000000004</v>
      </c>
      <c r="I26" s="4">
        <v>0.94950000000000001</v>
      </c>
      <c r="J26" s="4">
        <v>0.95979999999999999</v>
      </c>
    </row>
    <row r="27" spans="1:10" x14ac:dyDescent="0.4">
      <c r="A27" s="2" t="s">
        <v>16</v>
      </c>
      <c r="B27" s="1" t="s">
        <v>15</v>
      </c>
      <c r="C27" s="1">
        <v>1234</v>
      </c>
      <c r="D27" s="4">
        <v>0.97989999999999999</v>
      </c>
      <c r="E27" s="4">
        <v>0.98640000000000005</v>
      </c>
      <c r="F27" s="4">
        <v>0.98650000000000004</v>
      </c>
      <c r="G27" s="4">
        <v>0.94469999999999998</v>
      </c>
      <c r="H27" s="4">
        <v>0.96909999999999996</v>
      </c>
      <c r="I27" s="4">
        <v>0.94640000000000002</v>
      </c>
      <c r="J27" s="4">
        <v>0.95669999999999999</v>
      </c>
    </row>
    <row r="28" spans="1:10" x14ac:dyDescent="0.4">
      <c r="A28" s="2" t="s">
        <v>16</v>
      </c>
      <c r="B28" s="1" t="s">
        <v>15</v>
      </c>
      <c r="C28" s="1">
        <v>2025</v>
      </c>
      <c r="D28" s="4">
        <v>0.98180000000000001</v>
      </c>
      <c r="E28" s="4">
        <v>0.98829999999999996</v>
      </c>
      <c r="F28" s="4">
        <v>0.98839999999999995</v>
      </c>
      <c r="G28" s="4">
        <v>0.95209999999999995</v>
      </c>
      <c r="H28" s="4">
        <v>0.92269999999999996</v>
      </c>
      <c r="I28" s="4">
        <v>0.92430000000000001</v>
      </c>
      <c r="J28" s="4">
        <v>0.93720000000000003</v>
      </c>
    </row>
    <row r="29" spans="1:10" x14ac:dyDescent="0.4">
      <c r="A29" s="2" t="s">
        <v>16</v>
      </c>
      <c r="B29" s="1" t="s">
        <v>15</v>
      </c>
      <c r="C29" s="1">
        <v>12345</v>
      </c>
      <c r="D29" s="4">
        <v>0.98640000000000005</v>
      </c>
      <c r="E29" s="4">
        <v>0.99099999999999999</v>
      </c>
      <c r="F29" s="4">
        <v>0.99109999999999998</v>
      </c>
      <c r="G29" s="4">
        <v>0.96350000000000002</v>
      </c>
      <c r="H29" s="4">
        <v>0.9536</v>
      </c>
      <c r="I29" s="4">
        <v>0.94950000000000001</v>
      </c>
      <c r="J29" s="4">
        <v>0.95850000000000002</v>
      </c>
    </row>
    <row r="30" spans="1:10" x14ac:dyDescent="0.4">
      <c r="A30" s="2" t="s">
        <v>16</v>
      </c>
      <c r="B30" s="1" t="s">
        <v>15</v>
      </c>
      <c r="C30" s="1">
        <v>666</v>
      </c>
      <c r="D30" s="4">
        <v>0.98480000000000001</v>
      </c>
      <c r="E30" s="4">
        <v>0.99009999999999998</v>
      </c>
      <c r="F30" s="4">
        <v>0.99009999999999998</v>
      </c>
      <c r="G30" s="4">
        <v>0.95679999999999998</v>
      </c>
      <c r="H30" s="4">
        <v>0.91239999999999999</v>
      </c>
      <c r="I30" s="4">
        <v>0.92110000000000003</v>
      </c>
      <c r="J30" s="4">
        <v>0.93400000000000005</v>
      </c>
    </row>
    <row r="31" spans="1:10" x14ac:dyDescent="0.4">
      <c r="D31" t="str">
        <f xml:space="preserve"> TEXT(AVERAGE(D26:D30),"0.0000") &amp; "±" &amp; TEXT(_xlfn.STDEV.S(D26:D30),"0.0000")</f>
        <v>0.9836±0.0026</v>
      </c>
      <c r="E31" t="str">
        <f t="shared" ref="E31:J31" si="4" xml:space="preserve"> TEXT(AVERAGE(E26:E30),"0.0000") &amp; "±" &amp; TEXT(_xlfn.STDEV.S(E26:E30),"0.0000")</f>
        <v>0.9893±0.0019</v>
      </c>
      <c r="F31" t="str">
        <f t="shared" si="4"/>
        <v>0.9893±0.0019</v>
      </c>
      <c r="G31" t="str">
        <f t="shared" si="4"/>
        <v>0.9507±0.0106</v>
      </c>
      <c r="H31" t="str">
        <f t="shared" si="4"/>
        <v>0.9485±0.0305</v>
      </c>
      <c r="I31" t="str">
        <f t="shared" si="4"/>
        <v>0.9382±0.0142</v>
      </c>
      <c r="J31" t="str">
        <f t="shared" si="4"/>
        <v>0.9492±0.0126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EE6-AEDC-49AA-B1CC-464D1D19E892}">
  <dimension ref="A1:L31"/>
  <sheetViews>
    <sheetView topLeftCell="A9" workbookViewId="0">
      <selection activeCell="D1" sqref="D1:J32"/>
    </sheetView>
  </sheetViews>
  <sheetFormatPr defaultRowHeight="18.75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4">
      <c r="A2" s="3" t="s">
        <v>17</v>
      </c>
      <c r="B2" s="1" t="s">
        <v>11</v>
      </c>
      <c r="C2" s="1">
        <v>42</v>
      </c>
      <c r="D2" s="4">
        <v>0.88949999999999996</v>
      </c>
      <c r="E2" s="4">
        <v>0.87450000000000006</v>
      </c>
      <c r="F2" s="4">
        <v>0.87470000000000003</v>
      </c>
      <c r="G2" s="4">
        <v>0.75690000000000002</v>
      </c>
      <c r="H2" s="4">
        <v>0.86839999999999995</v>
      </c>
      <c r="I2" s="4">
        <v>0.80500000000000005</v>
      </c>
      <c r="J2" s="4">
        <v>0.80879999999999996</v>
      </c>
      <c r="L2" s="4"/>
    </row>
    <row r="3" spans="1:12" x14ac:dyDescent="0.4">
      <c r="A3" s="3" t="s">
        <v>17</v>
      </c>
      <c r="B3" s="1" t="s">
        <v>11</v>
      </c>
      <c r="C3" s="1">
        <v>1234</v>
      </c>
      <c r="D3" s="4">
        <v>0.89580000000000004</v>
      </c>
      <c r="E3" s="4">
        <v>0.87580000000000002</v>
      </c>
      <c r="F3" s="4">
        <v>0.876</v>
      </c>
      <c r="G3" s="4">
        <v>0.82289999999999996</v>
      </c>
      <c r="H3" s="4">
        <v>0.79469999999999996</v>
      </c>
      <c r="I3" s="4">
        <v>0.82130000000000003</v>
      </c>
      <c r="J3" s="4">
        <v>0.80859999999999999</v>
      </c>
      <c r="L3" s="4"/>
    </row>
    <row r="4" spans="1:12" x14ac:dyDescent="0.4">
      <c r="A4" s="3" t="s">
        <v>17</v>
      </c>
      <c r="B4" s="1" t="s">
        <v>11</v>
      </c>
      <c r="C4" s="1">
        <v>2025</v>
      </c>
      <c r="D4" s="4">
        <v>0.88780000000000003</v>
      </c>
      <c r="E4" s="4">
        <v>0.86729999999999996</v>
      </c>
      <c r="F4" s="4">
        <v>0.86760000000000004</v>
      </c>
      <c r="G4" s="4">
        <v>0.81559999999999999</v>
      </c>
      <c r="H4" s="4">
        <v>0.76839999999999997</v>
      </c>
      <c r="I4" s="4">
        <v>0.8075</v>
      </c>
      <c r="J4" s="4">
        <v>0.7913</v>
      </c>
      <c r="L4" s="4"/>
    </row>
    <row r="5" spans="1:12" x14ac:dyDescent="0.4">
      <c r="A5" s="3" t="s">
        <v>17</v>
      </c>
      <c r="B5" s="1" t="s">
        <v>11</v>
      </c>
      <c r="C5" s="1">
        <v>12345</v>
      </c>
      <c r="D5" s="4">
        <v>0.88970000000000005</v>
      </c>
      <c r="E5" s="4">
        <v>0.87690000000000001</v>
      </c>
      <c r="F5" s="4">
        <v>0.87719999999999998</v>
      </c>
      <c r="G5" s="4">
        <v>0.77270000000000005</v>
      </c>
      <c r="H5" s="4">
        <v>0.85</v>
      </c>
      <c r="I5" s="4">
        <v>0.81</v>
      </c>
      <c r="J5" s="4">
        <v>0.8095</v>
      </c>
      <c r="L5" s="4"/>
    </row>
    <row r="6" spans="1:12" x14ac:dyDescent="0.4">
      <c r="A6" s="3" t="s">
        <v>17</v>
      </c>
      <c r="B6" s="1" t="s">
        <v>11</v>
      </c>
      <c r="C6" s="1">
        <v>666</v>
      </c>
      <c r="D6" s="4">
        <v>0.89270000000000005</v>
      </c>
      <c r="E6" s="4">
        <v>0.87370000000000003</v>
      </c>
      <c r="F6" s="4">
        <v>0.874</v>
      </c>
      <c r="G6" s="4">
        <v>0.81940000000000002</v>
      </c>
      <c r="H6" s="4">
        <v>0.77629999999999999</v>
      </c>
      <c r="I6" s="4">
        <v>0.8125</v>
      </c>
      <c r="J6" s="4">
        <v>0.79730000000000001</v>
      </c>
      <c r="L6" s="4"/>
    </row>
    <row r="7" spans="1:12" x14ac:dyDescent="0.4">
      <c r="A7" s="1"/>
      <c r="B7" s="1"/>
      <c r="C7" s="1"/>
      <c r="D7" t="str">
        <f xml:space="preserve"> TEXT(AVERAGE(D2:D6),"0.0000") &amp; "±" &amp; TEXT(_xlfn.STDEV.S(D2:D6),"0.0000")</f>
        <v>0.8911±0.0032</v>
      </c>
      <c r="E7" t="str">
        <f t="shared" ref="E7:J7" si="0" xml:space="preserve"> TEXT(AVERAGE(E2:E6),"0.0000") &amp; "±" &amp; TEXT(_xlfn.STDEV.S(E2:E6),"0.0000")</f>
        <v>0.8736±0.0037</v>
      </c>
      <c r="F7" t="str">
        <f t="shared" si="0"/>
        <v>0.8739±0.0037</v>
      </c>
      <c r="G7" t="str">
        <f t="shared" si="0"/>
        <v>0.7975±0.0305</v>
      </c>
      <c r="H7" t="str">
        <f t="shared" si="0"/>
        <v>0.8116±0.0450</v>
      </c>
      <c r="I7" t="str">
        <f t="shared" si="0"/>
        <v>0.8113±0.0063</v>
      </c>
      <c r="J7" t="str">
        <f t="shared" si="0"/>
        <v>0.8031±0.0083</v>
      </c>
    </row>
    <row r="8" spans="1:12" x14ac:dyDescent="0.4">
      <c r="A8" s="3" t="s">
        <v>17</v>
      </c>
      <c r="B8" s="1" t="s">
        <v>12</v>
      </c>
      <c r="C8" s="1">
        <v>42</v>
      </c>
      <c r="D8" s="4">
        <v>0.86060000000000003</v>
      </c>
      <c r="E8" s="4">
        <v>0.86140000000000005</v>
      </c>
      <c r="F8" s="4">
        <v>0.86160000000000003</v>
      </c>
      <c r="G8" s="4">
        <v>0.7177</v>
      </c>
      <c r="H8" s="4">
        <v>0.84860000000000002</v>
      </c>
      <c r="I8" s="4">
        <v>0.75929999999999997</v>
      </c>
      <c r="J8" s="4">
        <v>0.77769999999999995</v>
      </c>
      <c r="L8" s="4"/>
    </row>
    <row r="9" spans="1:12" x14ac:dyDescent="0.4">
      <c r="A9" s="3" t="s">
        <v>17</v>
      </c>
      <c r="B9" s="1" t="s">
        <v>12</v>
      </c>
      <c r="C9" s="1">
        <v>1234</v>
      </c>
      <c r="D9" s="4">
        <v>0.86799999999999999</v>
      </c>
      <c r="E9" s="4">
        <v>0.87480000000000002</v>
      </c>
      <c r="F9" s="4">
        <v>0.87490000000000001</v>
      </c>
      <c r="G9" s="4">
        <v>0.79900000000000004</v>
      </c>
      <c r="H9" s="4">
        <v>0.77710000000000001</v>
      </c>
      <c r="I9" s="4">
        <v>0.79239999999999999</v>
      </c>
      <c r="J9" s="4">
        <v>0.78790000000000004</v>
      </c>
      <c r="L9" s="4"/>
    </row>
    <row r="10" spans="1:12" x14ac:dyDescent="0.4">
      <c r="A10" s="3" t="s">
        <v>17</v>
      </c>
      <c r="B10" s="1" t="s">
        <v>12</v>
      </c>
      <c r="C10" s="1">
        <v>2025</v>
      </c>
      <c r="D10" s="4">
        <v>0.86839999999999995</v>
      </c>
      <c r="E10" s="4">
        <v>0.87309999999999999</v>
      </c>
      <c r="F10" s="4">
        <v>0.87319999999999998</v>
      </c>
      <c r="G10" s="4">
        <v>0.74760000000000004</v>
      </c>
      <c r="H10" s="4">
        <v>0.81879999999999997</v>
      </c>
      <c r="I10" s="4">
        <v>0.77290000000000003</v>
      </c>
      <c r="J10" s="4">
        <v>0.78159999999999996</v>
      </c>
      <c r="L10" s="4"/>
    </row>
    <row r="11" spans="1:12" x14ac:dyDescent="0.4">
      <c r="A11" s="3" t="s">
        <v>17</v>
      </c>
      <c r="B11" s="1" t="s">
        <v>12</v>
      </c>
      <c r="C11" s="1">
        <v>12345</v>
      </c>
      <c r="D11" s="4">
        <v>0.86809999999999998</v>
      </c>
      <c r="E11" s="4">
        <v>0.875</v>
      </c>
      <c r="F11" s="4">
        <v>0.87509999999999999</v>
      </c>
      <c r="G11" s="4">
        <v>0.78010000000000002</v>
      </c>
      <c r="H11" s="4">
        <v>0.80330000000000001</v>
      </c>
      <c r="I11" s="4">
        <v>0.79010000000000002</v>
      </c>
      <c r="J11" s="4">
        <v>0.79149999999999998</v>
      </c>
      <c r="L11" s="4"/>
    </row>
    <row r="12" spans="1:12" x14ac:dyDescent="0.4">
      <c r="A12" s="3" t="s">
        <v>17</v>
      </c>
      <c r="B12" s="1" t="s">
        <v>12</v>
      </c>
      <c r="C12" s="1">
        <v>666</v>
      </c>
      <c r="D12" s="4">
        <v>0.87229999999999996</v>
      </c>
      <c r="E12" s="4">
        <v>0.87480000000000002</v>
      </c>
      <c r="F12" s="4">
        <v>0.875</v>
      </c>
      <c r="G12" s="4">
        <v>0.68430000000000002</v>
      </c>
      <c r="H12" s="4">
        <v>0.87839999999999996</v>
      </c>
      <c r="I12" s="4">
        <v>0.73860000000000003</v>
      </c>
      <c r="J12" s="4">
        <v>0.76929999999999998</v>
      </c>
      <c r="L12" s="4"/>
    </row>
    <row r="13" spans="1:12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0.8675±0.0042</v>
      </c>
      <c r="E13" t="str">
        <f t="shared" si="1"/>
        <v>0.8718±0.0059</v>
      </c>
      <c r="F13" t="str">
        <f t="shared" si="1"/>
        <v>0.8720±0.0058</v>
      </c>
      <c r="G13" t="str">
        <f t="shared" si="1"/>
        <v>0.7457±0.0463</v>
      </c>
      <c r="H13" t="str">
        <f t="shared" si="1"/>
        <v>0.8252±0.0394</v>
      </c>
      <c r="I13" t="str">
        <f t="shared" si="1"/>
        <v>0.7707±0.0224</v>
      </c>
      <c r="J13" t="str">
        <f t="shared" si="1"/>
        <v>0.7816±0.0087</v>
      </c>
    </row>
    <row r="14" spans="1:12" x14ac:dyDescent="0.4">
      <c r="A14" s="3" t="s">
        <v>17</v>
      </c>
      <c r="B14" s="1" t="s">
        <v>13</v>
      </c>
      <c r="C14" s="1">
        <v>42</v>
      </c>
      <c r="D14" s="4">
        <v>0.72929999999999995</v>
      </c>
      <c r="E14" s="4">
        <v>0.75439999999999996</v>
      </c>
      <c r="F14" s="4">
        <v>0.75480000000000003</v>
      </c>
      <c r="G14" s="4">
        <v>0.7026</v>
      </c>
      <c r="H14" s="4">
        <v>0.77890000000000004</v>
      </c>
      <c r="I14" s="4">
        <v>0.68059999999999998</v>
      </c>
      <c r="J14" s="4">
        <v>0.73880000000000001</v>
      </c>
      <c r="L14" s="4"/>
    </row>
    <row r="15" spans="1:12" x14ac:dyDescent="0.4">
      <c r="A15" s="3" t="s">
        <v>17</v>
      </c>
      <c r="B15" s="1" t="s">
        <v>13</v>
      </c>
      <c r="C15" s="1">
        <v>1234</v>
      </c>
      <c r="D15" s="4">
        <v>0.74060000000000004</v>
      </c>
      <c r="E15" s="4">
        <v>0.7591</v>
      </c>
      <c r="F15" s="4">
        <v>0.75960000000000005</v>
      </c>
      <c r="G15" s="4">
        <v>0.73440000000000005</v>
      </c>
      <c r="H15" s="4">
        <v>0.68510000000000004</v>
      </c>
      <c r="I15" s="4">
        <v>0.67369999999999997</v>
      </c>
      <c r="J15" s="4">
        <v>0.70889999999999997</v>
      </c>
      <c r="L15" s="4"/>
    </row>
    <row r="16" spans="1:12" x14ac:dyDescent="0.4">
      <c r="A16" s="3" t="s">
        <v>17</v>
      </c>
      <c r="B16" s="1" t="s">
        <v>13</v>
      </c>
      <c r="C16" s="1">
        <v>2025</v>
      </c>
      <c r="D16" s="4">
        <v>0.7611</v>
      </c>
      <c r="E16" s="4">
        <v>0.77200000000000002</v>
      </c>
      <c r="F16" s="4">
        <v>0.77239999999999998</v>
      </c>
      <c r="G16" s="4">
        <v>0.74109999999999998</v>
      </c>
      <c r="H16" s="4">
        <v>0.77690000000000003</v>
      </c>
      <c r="I16" s="4">
        <v>0.71319999999999995</v>
      </c>
      <c r="J16" s="4">
        <v>0.75849999999999995</v>
      </c>
      <c r="L16" s="4"/>
    </row>
    <row r="17" spans="1:12" x14ac:dyDescent="0.4">
      <c r="A17" s="3" t="s">
        <v>17</v>
      </c>
      <c r="B17" s="1" t="s">
        <v>13</v>
      </c>
      <c r="C17" s="1">
        <v>12345</v>
      </c>
      <c r="D17" s="4">
        <v>0.74560000000000004</v>
      </c>
      <c r="E17" s="4">
        <v>0.76049999999999995</v>
      </c>
      <c r="F17" s="4">
        <v>0.76090000000000002</v>
      </c>
      <c r="G17" s="4">
        <v>0.74970000000000003</v>
      </c>
      <c r="H17" s="4">
        <v>0.70089999999999997</v>
      </c>
      <c r="I17" s="4">
        <v>0.69089999999999996</v>
      </c>
      <c r="J17" s="4">
        <v>0.72450000000000003</v>
      </c>
      <c r="L17" s="4"/>
    </row>
    <row r="18" spans="1:12" x14ac:dyDescent="0.4">
      <c r="A18" s="3" t="s">
        <v>17</v>
      </c>
      <c r="B18" s="1" t="s">
        <v>13</v>
      </c>
      <c r="C18" s="1">
        <v>666</v>
      </c>
      <c r="D18" s="4">
        <v>0.7712</v>
      </c>
      <c r="E18" s="4">
        <v>0.77549999999999997</v>
      </c>
      <c r="F18" s="4">
        <v>0.77639999999999998</v>
      </c>
      <c r="G18" s="4">
        <v>0.72170000000000001</v>
      </c>
      <c r="H18" s="4">
        <v>0.86280000000000001</v>
      </c>
      <c r="I18" s="4">
        <v>0.72750000000000004</v>
      </c>
      <c r="J18" s="4">
        <v>0.78600000000000003</v>
      </c>
      <c r="L18" s="4"/>
    </row>
    <row r="19" spans="1:12" x14ac:dyDescent="0.4">
      <c r="A19" s="1"/>
      <c r="B19" s="1"/>
      <c r="C19" s="1"/>
      <c r="D19" t="str">
        <f xml:space="preserve"> TEXT(AVERAGE(D14:D18),"0.0000") &amp; "±" &amp; TEXT(_xlfn.STDEV.S(D14:D18),"0.0000")</f>
        <v>0.7496±0.0166</v>
      </c>
      <c r="E19" t="str">
        <f t="shared" ref="E19:J19" si="2" xml:space="preserve"> TEXT(AVERAGE(E14:E18),"0.0000") &amp; "±" &amp; TEXT(_xlfn.STDEV.S(E14:E18),"0.0000")</f>
        <v>0.7643±0.0090</v>
      </c>
      <c r="F19" t="str">
        <f t="shared" si="2"/>
        <v>0.7648±0.0091</v>
      </c>
      <c r="G19" t="str">
        <f t="shared" si="2"/>
        <v>0.7299±0.0184</v>
      </c>
      <c r="H19" t="str">
        <f t="shared" si="2"/>
        <v>0.7609±0.0713</v>
      </c>
      <c r="I19" t="str">
        <f t="shared" si="2"/>
        <v>0.6972±0.0226</v>
      </c>
      <c r="J19" t="str">
        <f t="shared" si="2"/>
        <v>0.7433±0.0300</v>
      </c>
    </row>
    <row r="20" spans="1:12" x14ac:dyDescent="0.4">
      <c r="A20" s="3" t="s">
        <v>17</v>
      </c>
      <c r="B20" s="1" t="s">
        <v>14</v>
      </c>
      <c r="C20" s="1">
        <v>42</v>
      </c>
      <c r="D20" s="4">
        <v>0.86990000000000001</v>
      </c>
      <c r="E20" s="4">
        <v>0.85199999999999998</v>
      </c>
      <c r="F20" s="4">
        <v>0.8528</v>
      </c>
      <c r="G20" s="4">
        <v>0.76429999999999998</v>
      </c>
      <c r="H20" s="4">
        <v>0.81079999999999997</v>
      </c>
      <c r="I20" s="4">
        <v>0.81100000000000005</v>
      </c>
      <c r="J20" s="4">
        <v>0.78690000000000004</v>
      </c>
      <c r="L20" s="4"/>
    </row>
    <row r="21" spans="1:12" x14ac:dyDescent="0.4">
      <c r="A21" s="3" t="s">
        <v>17</v>
      </c>
      <c r="B21" s="1" t="s">
        <v>14</v>
      </c>
      <c r="C21" s="1">
        <v>1234</v>
      </c>
      <c r="D21" s="4">
        <v>0.87139999999999995</v>
      </c>
      <c r="E21" s="4">
        <v>0.86799999999999999</v>
      </c>
      <c r="F21" s="4">
        <v>0.86839999999999995</v>
      </c>
      <c r="G21" s="4">
        <v>0.78</v>
      </c>
      <c r="H21" s="4">
        <v>0.79049999999999998</v>
      </c>
      <c r="I21" s="4">
        <v>0.81399999999999995</v>
      </c>
      <c r="J21" s="4">
        <v>0.78520000000000001</v>
      </c>
      <c r="L21" s="4"/>
    </row>
    <row r="22" spans="1:12" x14ac:dyDescent="0.4">
      <c r="A22" s="3" t="s">
        <v>17</v>
      </c>
      <c r="B22" s="1" t="s">
        <v>14</v>
      </c>
      <c r="C22" s="1">
        <v>2025</v>
      </c>
      <c r="D22" s="4">
        <v>0.87229999999999996</v>
      </c>
      <c r="E22" s="4">
        <v>0.86070000000000002</v>
      </c>
      <c r="F22" s="4">
        <v>0.86129999999999995</v>
      </c>
      <c r="G22" s="4">
        <v>0.79720000000000002</v>
      </c>
      <c r="H22" s="4">
        <v>0.77029999999999998</v>
      </c>
      <c r="I22" s="4">
        <v>0.81689999999999996</v>
      </c>
      <c r="J22" s="4">
        <v>0.78349999999999997</v>
      </c>
      <c r="L22" s="4"/>
    </row>
    <row r="23" spans="1:12" x14ac:dyDescent="0.4">
      <c r="A23" s="3" t="s">
        <v>17</v>
      </c>
      <c r="B23" s="1" t="s">
        <v>14</v>
      </c>
      <c r="C23" s="1">
        <v>12345</v>
      </c>
      <c r="D23" s="4">
        <v>0.87029999999999996</v>
      </c>
      <c r="E23" s="4">
        <v>0.8548</v>
      </c>
      <c r="F23" s="4">
        <v>0.85540000000000005</v>
      </c>
      <c r="G23" s="4">
        <v>0.72670000000000001</v>
      </c>
      <c r="H23" s="4">
        <v>0.79049999999999998</v>
      </c>
      <c r="I23" s="4">
        <v>0.78200000000000003</v>
      </c>
      <c r="J23" s="4">
        <v>0.75729999999999997</v>
      </c>
      <c r="L23" s="4"/>
    </row>
    <row r="24" spans="1:12" x14ac:dyDescent="0.4">
      <c r="A24" s="3" t="s">
        <v>17</v>
      </c>
      <c r="B24" s="1" t="s">
        <v>14</v>
      </c>
      <c r="C24" s="1">
        <v>666</v>
      </c>
      <c r="D24" s="4">
        <v>0.84970000000000001</v>
      </c>
      <c r="E24" s="4">
        <v>0.80289999999999995</v>
      </c>
      <c r="F24" s="4">
        <v>0.80530000000000002</v>
      </c>
      <c r="G24" s="4">
        <v>0.78380000000000005</v>
      </c>
      <c r="H24" s="4">
        <v>0.78380000000000005</v>
      </c>
      <c r="I24" s="4">
        <v>0.81399999999999995</v>
      </c>
      <c r="J24" s="4">
        <v>0.78380000000000005</v>
      </c>
      <c r="L24" s="4"/>
    </row>
    <row r="25" spans="1:12" x14ac:dyDescent="0.4">
      <c r="A25" s="1"/>
      <c r="B25" s="1"/>
      <c r="C25" s="1"/>
      <c r="D25" t="str">
        <f xml:space="preserve"> TEXT(AVERAGE(D20:D24),"0.0000") &amp; "±" &amp; TEXT(_xlfn.STDEV.S(D20:D24),"0.0000")</f>
        <v>0.8667±0.0096</v>
      </c>
      <c r="E25" t="str">
        <f t="shared" ref="E25:J25" si="3" xml:space="preserve"> TEXT(AVERAGE(E20:E24),"0.0000") &amp; "±" &amp; TEXT(_xlfn.STDEV.S(E20:E24),"0.0000")</f>
        <v>0.8477±0.0258</v>
      </c>
      <c r="F25" t="str">
        <f t="shared" si="3"/>
        <v>0.8486±0.0250</v>
      </c>
      <c r="G25" t="str">
        <f t="shared" si="3"/>
        <v>0.7704±0.0271</v>
      </c>
      <c r="H25" t="str">
        <f t="shared" si="3"/>
        <v>0.7892±0.0146</v>
      </c>
      <c r="I25" t="str">
        <f t="shared" si="3"/>
        <v>0.8076±0.0145</v>
      </c>
      <c r="J25" t="str">
        <f t="shared" si="3"/>
        <v>0.7793±0.0124</v>
      </c>
    </row>
    <row r="26" spans="1:12" x14ac:dyDescent="0.4">
      <c r="A26" s="3" t="s">
        <v>17</v>
      </c>
      <c r="B26" s="1" t="s">
        <v>15</v>
      </c>
      <c r="C26" s="1">
        <v>42</v>
      </c>
      <c r="D26" s="4">
        <v>0.75560000000000005</v>
      </c>
      <c r="E26" s="4">
        <v>0.73819999999999997</v>
      </c>
      <c r="F26" s="4">
        <v>0.74029999999999996</v>
      </c>
      <c r="G26" s="4">
        <v>0.74550000000000005</v>
      </c>
      <c r="H26" s="4">
        <v>0.67210000000000003</v>
      </c>
      <c r="I26" s="4">
        <v>0.70689999999999997</v>
      </c>
      <c r="J26" s="4">
        <v>0.70689999999999997</v>
      </c>
      <c r="L26" s="4"/>
    </row>
    <row r="27" spans="1:12" x14ac:dyDescent="0.4">
      <c r="A27" s="3" t="s">
        <v>17</v>
      </c>
      <c r="B27" s="1" t="s">
        <v>15</v>
      </c>
      <c r="C27" s="1">
        <v>1234</v>
      </c>
      <c r="D27" s="4">
        <v>0.75880000000000003</v>
      </c>
      <c r="E27" s="4">
        <v>0.74850000000000005</v>
      </c>
      <c r="F27" s="4">
        <v>0.751</v>
      </c>
      <c r="G27" s="4">
        <v>0.622</v>
      </c>
      <c r="H27" s="4">
        <v>0.83609999999999995</v>
      </c>
      <c r="I27" s="4">
        <v>0.64659999999999995</v>
      </c>
      <c r="J27" s="4">
        <v>0.71330000000000005</v>
      </c>
      <c r="L27" s="4"/>
    </row>
    <row r="28" spans="1:12" x14ac:dyDescent="0.4">
      <c r="A28" s="3" t="s">
        <v>17</v>
      </c>
      <c r="B28" s="1" t="s">
        <v>15</v>
      </c>
      <c r="C28" s="1">
        <v>2025</v>
      </c>
      <c r="D28" s="4">
        <v>0.76539999999999997</v>
      </c>
      <c r="E28" s="4">
        <v>0.75</v>
      </c>
      <c r="F28" s="4">
        <v>0.75560000000000005</v>
      </c>
      <c r="G28" s="4">
        <v>0.64670000000000005</v>
      </c>
      <c r="H28" s="4">
        <v>0.88519999999999999</v>
      </c>
      <c r="I28" s="4">
        <v>0.68530000000000002</v>
      </c>
      <c r="J28" s="4">
        <v>0.74739999999999995</v>
      </c>
      <c r="L28" s="4"/>
    </row>
    <row r="29" spans="1:12" x14ac:dyDescent="0.4">
      <c r="A29" s="3" t="s">
        <v>17</v>
      </c>
      <c r="B29" s="1" t="s">
        <v>15</v>
      </c>
      <c r="C29" s="1">
        <v>12345</v>
      </c>
      <c r="D29" s="4">
        <v>0.76700000000000002</v>
      </c>
      <c r="E29" s="4">
        <v>0.75349999999999995</v>
      </c>
      <c r="F29" s="4">
        <v>0.75600000000000001</v>
      </c>
      <c r="G29" s="4">
        <v>0.68530000000000002</v>
      </c>
      <c r="H29" s="4">
        <v>0.80330000000000001</v>
      </c>
      <c r="I29" s="4">
        <v>0.7026</v>
      </c>
      <c r="J29" s="4">
        <v>0.73960000000000004</v>
      </c>
      <c r="L29" s="4"/>
    </row>
    <row r="30" spans="1:12" x14ac:dyDescent="0.4">
      <c r="A30" s="3" t="s">
        <v>17</v>
      </c>
      <c r="B30" s="1" t="s">
        <v>15</v>
      </c>
      <c r="C30" s="1">
        <v>666</v>
      </c>
      <c r="D30" s="4">
        <v>0.75309999999999999</v>
      </c>
      <c r="E30" s="4">
        <v>0.75149999999999995</v>
      </c>
      <c r="F30" s="4">
        <v>0.75339999999999996</v>
      </c>
      <c r="G30" s="4">
        <v>0.69110000000000005</v>
      </c>
      <c r="H30" s="4">
        <v>0.69669999999999999</v>
      </c>
      <c r="I30" s="4">
        <v>0.67669999999999997</v>
      </c>
      <c r="J30" s="4">
        <v>0.69389999999999996</v>
      </c>
      <c r="L30" s="4"/>
    </row>
    <row r="31" spans="1:12" x14ac:dyDescent="0.4">
      <c r="D31" t="str">
        <f xml:space="preserve"> TEXT(AVERAGE(D26:D30),"0.0000") &amp; "±" &amp; TEXT(_xlfn.STDEV.S(D26:D30),"0.0000")</f>
        <v>0.7600±0.0061</v>
      </c>
      <c r="E31" t="str">
        <f t="shared" ref="E31:J31" si="4" xml:space="preserve"> TEXT(AVERAGE(E26:E30),"0.0000") &amp; "±" &amp; TEXT(_xlfn.STDEV.S(E26:E30),"0.0000")</f>
        <v>0.7483±0.0060</v>
      </c>
      <c r="F31" t="str">
        <f t="shared" si="4"/>
        <v>0.7513±0.0064</v>
      </c>
      <c r="G31" t="str">
        <f t="shared" si="4"/>
        <v>0.6781±0.0472</v>
      </c>
      <c r="H31" t="str">
        <f t="shared" si="4"/>
        <v>0.7787±0.0913</v>
      </c>
      <c r="I31" t="str">
        <f t="shared" si="4"/>
        <v>0.6836±0.0241</v>
      </c>
      <c r="J31" t="str">
        <f t="shared" si="4"/>
        <v>0.7202±0.0225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5180-57AC-4BB6-B1CC-6E162588BEA5}">
  <dimension ref="A1:J31"/>
  <sheetViews>
    <sheetView tabSelected="1" topLeftCell="A7" workbookViewId="0">
      <selection activeCell="L22" sqref="L22"/>
    </sheetView>
  </sheetViews>
  <sheetFormatPr defaultRowHeight="18.75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3" t="s">
        <v>18</v>
      </c>
      <c r="B2" s="1" t="s">
        <v>11</v>
      </c>
      <c r="C2" s="1">
        <v>42</v>
      </c>
      <c r="D2" s="4">
        <v>0.95299999999999996</v>
      </c>
      <c r="E2" s="4">
        <v>0.94269999999999998</v>
      </c>
      <c r="F2" s="4">
        <v>0.94269999999999998</v>
      </c>
      <c r="G2" s="4">
        <v>0.91910000000000003</v>
      </c>
      <c r="H2" s="4">
        <v>0.87129999999999996</v>
      </c>
      <c r="I2" s="4">
        <v>0.90249999999999997</v>
      </c>
      <c r="J2" s="4">
        <v>0.89449999999999996</v>
      </c>
    </row>
    <row r="3" spans="1:10" x14ac:dyDescent="0.4">
      <c r="A3" s="3" t="s">
        <v>18</v>
      </c>
      <c r="B3" s="1" t="s">
        <v>11</v>
      </c>
      <c r="C3" s="1">
        <v>1234</v>
      </c>
      <c r="D3" s="4">
        <v>0.95789999999999997</v>
      </c>
      <c r="E3" s="4">
        <v>0.95569999999999999</v>
      </c>
      <c r="F3" s="4">
        <v>0.95579999999999998</v>
      </c>
      <c r="G3" s="4">
        <v>0.87409999999999999</v>
      </c>
      <c r="H3" s="4">
        <v>0.89359999999999995</v>
      </c>
      <c r="I3" s="4">
        <v>0.88839999999999997</v>
      </c>
      <c r="J3" s="4">
        <v>0.88370000000000004</v>
      </c>
    </row>
    <row r="4" spans="1:10" x14ac:dyDescent="0.4">
      <c r="A4" s="3" t="s">
        <v>18</v>
      </c>
      <c r="B4" s="1" t="s">
        <v>11</v>
      </c>
      <c r="C4" s="1">
        <v>2025</v>
      </c>
      <c r="D4" s="4">
        <v>0.95630000000000004</v>
      </c>
      <c r="E4" s="4">
        <v>0.94740000000000002</v>
      </c>
      <c r="F4" s="4">
        <v>0.94750000000000001</v>
      </c>
      <c r="G4" s="4">
        <v>0.85429999999999995</v>
      </c>
      <c r="H4" s="4">
        <v>0.94310000000000005</v>
      </c>
      <c r="I4" s="4">
        <v>0.89659999999999995</v>
      </c>
      <c r="J4" s="4">
        <v>0.89649999999999996</v>
      </c>
    </row>
    <row r="5" spans="1:10" x14ac:dyDescent="0.4">
      <c r="A5" s="3" t="s">
        <v>18</v>
      </c>
      <c r="B5" s="1" t="s">
        <v>11</v>
      </c>
      <c r="C5" s="1">
        <v>12345</v>
      </c>
      <c r="D5" s="4">
        <v>0.95830000000000004</v>
      </c>
      <c r="E5" s="4">
        <v>0.95079999999999998</v>
      </c>
      <c r="F5" s="4">
        <v>0.95089999999999997</v>
      </c>
      <c r="G5" s="4">
        <v>0.86739999999999995</v>
      </c>
      <c r="H5" s="4">
        <v>0.92330000000000001</v>
      </c>
      <c r="I5" s="4">
        <v>0.89659999999999995</v>
      </c>
      <c r="J5" s="4">
        <v>0.89449999999999996</v>
      </c>
    </row>
    <row r="6" spans="1:10" x14ac:dyDescent="0.4">
      <c r="A6" s="3" t="s">
        <v>18</v>
      </c>
      <c r="B6" s="1" t="s">
        <v>11</v>
      </c>
      <c r="C6" s="1">
        <v>666</v>
      </c>
      <c r="D6" s="4">
        <v>0.95799999999999996</v>
      </c>
      <c r="E6" s="4">
        <v>0.95230000000000004</v>
      </c>
      <c r="F6" s="4">
        <v>0.95240000000000002</v>
      </c>
      <c r="G6" s="4">
        <v>0.8921</v>
      </c>
      <c r="H6" s="4">
        <v>0.92079999999999995</v>
      </c>
      <c r="I6" s="4">
        <v>0.90949999999999998</v>
      </c>
      <c r="J6" s="4">
        <v>0.90620000000000001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0.9567±0.0022</v>
      </c>
      <c r="E7" t="str">
        <f t="shared" ref="E7:J7" si="0" xml:space="preserve"> TEXT(AVERAGE(E2:E6),"0.0000") &amp; "±" &amp; TEXT(_xlfn.STDEV.S(E2:E6),"0.0000")</f>
        <v>0.9498±0.0050</v>
      </c>
      <c r="F7" t="str">
        <f t="shared" si="0"/>
        <v>0.9499±0.0050</v>
      </c>
      <c r="G7" t="str">
        <f t="shared" si="0"/>
        <v>0.8814±0.0251</v>
      </c>
      <c r="H7" t="str">
        <f t="shared" si="0"/>
        <v>0.9104±0.0281</v>
      </c>
      <c r="I7" t="str">
        <f t="shared" si="0"/>
        <v>0.8987±0.0078</v>
      </c>
      <c r="J7" t="str">
        <f t="shared" si="0"/>
        <v>0.8951±0.0080</v>
      </c>
    </row>
    <row r="8" spans="1:10" x14ac:dyDescent="0.4">
      <c r="A8" s="3" t="s">
        <v>18</v>
      </c>
      <c r="B8" s="1" t="s">
        <v>12</v>
      </c>
      <c r="C8" s="1">
        <v>42</v>
      </c>
      <c r="D8" s="4">
        <v>0.94989999999999997</v>
      </c>
      <c r="E8" s="4">
        <v>0.94979999999999998</v>
      </c>
      <c r="F8" s="4">
        <v>0.94989999999999997</v>
      </c>
      <c r="G8" s="4">
        <v>0.86460000000000004</v>
      </c>
      <c r="H8" s="4">
        <v>0.89329999999999998</v>
      </c>
      <c r="I8" s="4">
        <v>0.87809999999999999</v>
      </c>
      <c r="J8" s="4">
        <v>0.87870000000000004</v>
      </c>
    </row>
    <row r="9" spans="1:10" x14ac:dyDescent="0.4">
      <c r="A9" s="3" t="s">
        <v>18</v>
      </c>
      <c r="B9" s="1" t="s">
        <v>12</v>
      </c>
      <c r="C9" s="1">
        <v>1234</v>
      </c>
      <c r="D9" s="4">
        <v>0.94550000000000001</v>
      </c>
      <c r="E9" s="4">
        <v>0.94489999999999996</v>
      </c>
      <c r="F9" s="4">
        <v>0.94499999999999995</v>
      </c>
      <c r="G9" s="4">
        <v>0.90610000000000002</v>
      </c>
      <c r="H9" s="4">
        <v>0.84060000000000001</v>
      </c>
      <c r="I9" s="4">
        <v>0.87809999999999999</v>
      </c>
      <c r="J9" s="4">
        <v>0.87209999999999999</v>
      </c>
    </row>
    <row r="10" spans="1:10" x14ac:dyDescent="0.4">
      <c r="A10" s="3" t="s">
        <v>18</v>
      </c>
      <c r="B10" s="1" t="s">
        <v>12</v>
      </c>
      <c r="C10" s="1">
        <v>2025</v>
      </c>
      <c r="D10" s="4">
        <v>0.94720000000000004</v>
      </c>
      <c r="E10" s="4">
        <v>0.94630000000000003</v>
      </c>
      <c r="F10" s="4">
        <v>0.94630000000000003</v>
      </c>
      <c r="G10" s="4">
        <v>0.8407</v>
      </c>
      <c r="H10" s="4">
        <v>0.91400000000000003</v>
      </c>
      <c r="I10" s="4">
        <v>0.87190000000000001</v>
      </c>
      <c r="J10" s="4">
        <v>0.87580000000000002</v>
      </c>
    </row>
    <row r="11" spans="1:10" x14ac:dyDescent="0.4">
      <c r="A11" s="3" t="s">
        <v>18</v>
      </c>
      <c r="B11" s="1" t="s">
        <v>12</v>
      </c>
      <c r="C11" s="1">
        <v>12345</v>
      </c>
      <c r="D11" s="4">
        <v>0.94850000000000001</v>
      </c>
      <c r="E11" s="4">
        <v>0.94850000000000001</v>
      </c>
      <c r="F11" s="4">
        <v>0.9486</v>
      </c>
      <c r="G11" s="4">
        <v>0.85560000000000003</v>
      </c>
      <c r="H11" s="4">
        <v>0.90369999999999995</v>
      </c>
      <c r="I11" s="4">
        <v>0.877</v>
      </c>
      <c r="J11" s="4">
        <v>0.879</v>
      </c>
    </row>
    <row r="12" spans="1:10" x14ac:dyDescent="0.4">
      <c r="A12" s="3" t="s">
        <v>18</v>
      </c>
      <c r="B12" s="1" t="s">
        <v>12</v>
      </c>
      <c r="C12" s="1">
        <v>666</v>
      </c>
      <c r="D12" s="4">
        <v>0.94610000000000005</v>
      </c>
      <c r="E12" s="4">
        <v>0.94620000000000004</v>
      </c>
      <c r="F12" s="4">
        <v>0.94620000000000004</v>
      </c>
      <c r="G12" s="4">
        <v>0.84240000000000004</v>
      </c>
      <c r="H12" s="4">
        <v>0.90710000000000002</v>
      </c>
      <c r="I12" s="4">
        <v>0.87019999999999997</v>
      </c>
      <c r="J12" s="4">
        <v>0.87350000000000005</v>
      </c>
    </row>
    <row r="13" spans="1:10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0.9474±0.0018</v>
      </c>
      <c r="E13" t="str">
        <f t="shared" si="1"/>
        <v>0.9471±0.0020</v>
      </c>
      <c r="F13" t="str">
        <f t="shared" si="1"/>
        <v>0.9472±0.0020</v>
      </c>
      <c r="G13" t="str">
        <f t="shared" si="1"/>
        <v>0.8619±0.0266</v>
      </c>
      <c r="H13" t="str">
        <f t="shared" si="1"/>
        <v>0.8917±0.0295</v>
      </c>
      <c r="I13" t="str">
        <f t="shared" si="1"/>
        <v>0.8751±0.0037</v>
      </c>
      <c r="J13" t="str">
        <f t="shared" si="1"/>
        <v>0.8758±0.0031</v>
      </c>
    </row>
    <row r="14" spans="1:10" x14ac:dyDescent="0.4">
      <c r="A14" s="3" t="s">
        <v>18</v>
      </c>
      <c r="B14" s="1" t="s">
        <v>13</v>
      </c>
      <c r="C14" s="1">
        <v>42</v>
      </c>
      <c r="D14" s="4">
        <v>0.77690000000000003</v>
      </c>
      <c r="E14" s="4">
        <v>0.78859999999999997</v>
      </c>
      <c r="F14" s="4">
        <v>0.78890000000000005</v>
      </c>
      <c r="G14" s="4">
        <v>0.60029999999999994</v>
      </c>
      <c r="H14" s="4">
        <v>0.97019999999999995</v>
      </c>
      <c r="I14" s="4">
        <v>0.62829999999999997</v>
      </c>
      <c r="J14" s="4">
        <v>0.74170000000000003</v>
      </c>
    </row>
    <row r="15" spans="1:10" x14ac:dyDescent="0.4">
      <c r="A15" s="3" t="s">
        <v>18</v>
      </c>
      <c r="B15" s="1" t="s">
        <v>13</v>
      </c>
      <c r="C15" s="1">
        <v>1234</v>
      </c>
      <c r="D15" s="4">
        <v>0.75990000000000002</v>
      </c>
      <c r="E15" s="4">
        <v>0.7903</v>
      </c>
      <c r="F15" s="4">
        <v>0.79049999999999998</v>
      </c>
      <c r="G15" s="4">
        <v>0.62360000000000004</v>
      </c>
      <c r="H15" s="4">
        <v>0.90329999999999999</v>
      </c>
      <c r="I15" s="4">
        <v>0.64700000000000002</v>
      </c>
      <c r="J15" s="4">
        <v>0.73780000000000001</v>
      </c>
    </row>
    <row r="16" spans="1:10" x14ac:dyDescent="0.4">
      <c r="A16" s="3" t="s">
        <v>18</v>
      </c>
      <c r="B16" s="1" t="s">
        <v>13</v>
      </c>
      <c r="C16" s="1">
        <v>2025</v>
      </c>
      <c r="D16" s="4">
        <v>0.72140000000000004</v>
      </c>
      <c r="E16" s="4">
        <v>0.74609999999999999</v>
      </c>
      <c r="F16" s="4">
        <v>0.74629999999999996</v>
      </c>
      <c r="G16" s="4">
        <v>0.6139</v>
      </c>
      <c r="H16" s="4">
        <v>0.9224</v>
      </c>
      <c r="I16" s="4">
        <v>0.63819999999999999</v>
      </c>
      <c r="J16" s="4">
        <v>0.73719999999999997</v>
      </c>
    </row>
    <row r="17" spans="1:10" x14ac:dyDescent="0.4">
      <c r="A17" s="3" t="s">
        <v>18</v>
      </c>
      <c r="B17" s="1" t="s">
        <v>13</v>
      </c>
      <c r="C17" s="1">
        <v>12345</v>
      </c>
      <c r="D17" s="4">
        <v>0.78639999999999999</v>
      </c>
      <c r="E17" s="4">
        <v>0.80800000000000005</v>
      </c>
      <c r="F17" s="4">
        <v>0.80820000000000003</v>
      </c>
      <c r="G17" s="4">
        <v>0.61240000000000006</v>
      </c>
      <c r="H17" s="4">
        <v>0.94689999999999996</v>
      </c>
      <c r="I17" s="4">
        <v>0.6411</v>
      </c>
      <c r="J17" s="4">
        <v>0.74370000000000003</v>
      </c>
    </row>
    <row r="18" spans="1:10" x14ac:dyDescent="0.4">
      <c r="A18" s="3" t="s">
        <v>18</v>
      </c>
      <c r="B18" s="1" t="s">
        <v>13</v>
      </c>
      <c r="C18" s="1">
        <v>666</v>
      </c>
      <c r="D18" s="4">
        <v>0.72099999999999997</v>
      </c>
      <c r="E18" s="4">
        <v>0.74660000000000004</v>
      </c>
      <c r="F18" s="4">
        <v>0.74690000000000001</v>
      </c>
      <c r="G18" s="4">
        <v>0.62009999999999998</v>
      </c>
      <c r="H18" s="4">
        <v>0.90010000000000001</v>
      </c>
      <c r="I18" s="4">
        <v>0.64170000000000005</v>
      </c>
      <c r="J18" s="4">
        <v>0.73429999999999995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0.7531±0.0306</v>
      </c>
      <c r="E19" t="str">
        <f t="shared" ref="E19:J19" si="2" xml:space="preserve"> TEXT(AVERAGE(E14:E18),"0.0000") &amp; "±" &amp; TEXT(_xlfn.STDEV.S(E14:E18),"0.0000")</f>
        <v>0.7759±0.0280</v>
      </c>
      <c r="F19" t="str">
        <f t="shared" si="2"/>
        <v>0.7762±0.0280</v>
      </c>
      <c r="G19" t="str">
        <f t="shared" si="2"/>
        <v>0.6141±0.0089</v>
      </c>
      <c r="H19" t="str">
        <f t="shared" si="2"/>
        <v>0.9286±0.0298</v>
      </c>
      <c r="I19" t="str">
        <f t="shared" si="2"/>
        <v>0.6393±0.0069</v>
      </c>
      <c r="J19" t="str">
        <f t="shared" si="2"/>
        <v>0.7389±0.0037</v>
      </c>
    </row>
    <row r="20" spans="1:10" x14ac:dyDescent="0.4">
      <c r="A20" s="3" t="s">
        <v>18</v>
      </c>
      <c r="B20" s="1" t="s">
        <v>14</v>
      </c>
      <c r="C20" s="1">
        <v>42</v>
      </c>
      <c r="D20" s="4">
        <v>0.95840000000000003</v>
      </c>
      <c r="E20" s="4">
        <v>0.96179999999999999</v>
      </c>
      <c r="F20" s="4">
        <v>0.96189999999999998</v>
      </c>
      <c r="G20" s="4">
        <v>0.91359999999999997</v>
      </c>
      <c r="H20" s="4">
        <v>0.87770000000000004</v>
      </c>
      <c r="I20" s="4">
        <v>0.89870000000000005</v>
      </c>
      <c r="J20" s="4">
        <v>0.89529999999999998</v>
      </c>
    </row>
    <row r="21" spans="1:10" x14ac:dyDescent="0.4">
      <c r="A21" s="3" t="s">
        <v>18</v>
      </c>
      <c r="B21" s="1" t="s">
        <v>14</v>
      </c>
      <c r="C21" s="1">
        <v>1234</v>
      </c>
      <c r="D21" s="4">
        <v>0.96150000000000002</v>
      </c>
      <c r="E21" s="4">
        <v>0.96330000000000005</v>
      </c>
      <c r="F21" s="4">
        <v>0.96340000000000003</v>
      </c>
      <c r="G21" s="4">
        <v>0.90869999999999995</v>
      </c>
      <c r="H21" s="4">
        <v>0.86899999999999999</v>
      </c>
      <c r="I21" s="4">
        <v>0.89219999999999999</v>
      </c>
      <c r="J21" s="4">
        <v>0.88839999999999997</v>
      </c>
    </row>
    <row r="22" spans="1:10" x14ac:dyDescent="0.4">
      <c r="A22" s="3" t="s">
        <v>18</v>
      </c>
      <c r="B22" s="1" t="s">
        <v>14</v>
      </c>
      <c r="C22" s="1">
        <v>2025</v>
      </c>
      <c r="D22" s="4">
        <v>0.96630000000000005</v>
      </c>
      <c r="E22" s="4">
        <v>0.96860000000000002</v>
      </c>
      <c r="F22" s="4">
        <v>0.96870000000000001</v>
      </c>
      <c r="G22" s="4">
        <v>0.92859999999999998</v>
      </c>
      <c r="H22" s="4">
        <v>0.85150000000000003</v>
      </c>
      <c r="I22" s="4">
        <v>0.89439999999999997</v>
      </c>
      <c r="J22" s="4">
        <v>0.88839999999999997</v>
      </c>
    </row>
    <row r="23" spans="1:10" x14ac:dyDescent="0.4">
      <c r="A23" s="3" t="s">
        <v>18</v>
      </c>
      <c r="B23" s="1" t="s">
        <v>14</v>
      </c>
      <c r="C23" s="1">
        <v>12345</v>
      </c>
      <c r="D23" s="4">
        <v>0.96730000000000005</v>
      </c>
      <c r="E23" s="4">
        <v>0.9667</v>
      </c>
      <c r="F23" s="4">
        <v>0.96679999999999999</v>
      </c>
      <c r="G23" s="4">
        <v>0.8851</v>
      </c>
      <c r="H23" s="4">
        <v>0.9083</v>
      </c>
      <c r="I23" s="4">
        <v>0.89659999999999995</v>
      </c>
      <c r="J23" s="4">
        <v>0.89649999999999996</v>
      </c>
    </row>
    <row r="24" spans="1:10" x14ac:dyDescent="0.4">
      <c r="A24" s="3" t="s">
        <v>18</v>
      </c>
      <c r="B24" s="1" t="s">
        <v>14</v>
      </c>
      <c r="C24" s="1">
        <v>666</v>
      </c>
      <c r="D24" s="4">
        <v>0.96599999999999997</v>
      </c>
      <c r="E24" s="4">
        <v>0.96870000000000001</v>
      </c>
      <c r="F24" s="4">
        <v>0.96870000000000001</v>
      </c>
      <c r="G24" s="4">
        <v>0.91669999999999996</v>
      </c>
      <c r="H24" s="4">
        <v>0.91269999999999996</v>
      </c>
      <c r="I24" s="4">
        <v>0.91590000000000005</v>
      </c>
      <c r="J24" s="4">
        <v>0.91469999999999996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0.9639±0.0038</v>
      </c>
      <c r="E25" t="str">
        <f t="shared" ref="E25:J25" si="3" xml:space="preserve"> TEXT(AVERAGE(E20:E24),"0.0000") &amp; "±" &amp; TEXT(_xlfn.STDEV.S(E20:E24),"0.0000")</f>
        <v>0.9658±0.0031</v>
      </c>
      <c r="F25" t="str">
        <f t="shared" si="3"/>
        <v>0.9659±0.0031</v>
      </c>
      <c r="G25" t="str">
        <f t="shared" si="3"/>
        <v>0.9105±0.0160</v>
      </c>
      <c r="H25" t="str">
        <f t="shared" si="3"/>
        <v>0.8838±0.0261</v>
      </c>
      <c r="I25" t="str">
        <f t="shared" si="3"/>
        <v>0.8996±0.0095</v>
      </c>
      <c r="J25" t="str">
        <f t="shared" si="3"/>
        <v>0.8967±0.0108</v>
      </c>
    </row>
    <row r="26" spans="1:10" x14ac:dyDescent="0.4">
      <c r="A26" s="3" t="s">
        <v>18</v>
      </c>
      <c r="B26" s="1" t="s">
        <v>15</v>
      </c>
      <c r="C26" s="1">
        <v>42</v>
      </c>
      <c r="D26" s="4">
        <v>0.83220000000000005</v>
      </c>
      <c r="E26" s="4">
        <v>0.88929999999999998</v>
      </c>
      <c r="F26" s="4">
        <v>0.88990000000000002</v>
      </c>
      <c r="G26" s="4">
        <v>0.79169999999999996</v>
      </c>
      <c r="H26" s="4">
        <v>0.79169999999999996</v>
      </c>
      <c r="I26" s="4">
        <v>0.75</v>
      </c>
      <c r="J26" s="4">
        <v>0.79169999999999996</v>
      </c>
    </row>
    <row r="27" spans="1:10" x14ac:dyDescent="0.4">
      <c r="A27" s="3" t="s">
        <v>18</v>
      </c>
      <c r="B27" s="1" t="s">
        <v>15</v>
      </c>
      <c r="C27" s="1">
        <v>1234</v>
      </c>
      <c r="D27" s="4">
        <v>0.81279999999999997</v>
      </c>
      <c r="E27" s="4">
        <v>0.86480000000000001</v>
      </c>
      <c r="F27" s="4">
        <v>0.86599999999999999</v>
      </c>
      <c r="G27" s="4">
        <v>0.73040000000000005</v>
      </c>
      <c r="H27" s="4">
        <v>0.875</v>
      </c>
      <c r="I27" s="4">
        <v>0.73119999999999996</v>
      </c>
      <c r="J27" s="4">
        <v>0.79620000000000002</v>
      </c>
    </row>
    <row r="28" spans="1:10" x14ac:dyDescent="0.4">
      <c r="A28" s="3" t="s">
        <v>18</v>
      </c>
      <c r="B28" s="1" t="s">
        <v>15</v>
      </c>
      <c r="C28" s="1">
        <v>2025</v>
      </c>
      <c r="D28" s="4">
        <v>0.80500000000000005</v>
      </c>
      <c r="E28" s="4">
        <v>0.84460000000000002</v>
      </c>
      <c r="F28" s="4">
        <v>0.8458</v>
      </c>
      <c r="G28" s="4">
        <v>0.76790000000000003</v>
      </c>
      <c r="H28" s="4">
        <v>0.89580000000000004</v>
      </c>
      <c r="I28" s="4">
        <v>0.77500000000000002</v>
      </c>
      <c r="J28" s="4">
        <v>0.82689999999999997</v>
      </c>
    </row>
    <row r="29" spans="1:10" x14ac:dyDescent="0.4">
      <c r="A29" s="3" t="s">
        <v>18</v>
      </c>
      <c r="B29" s="1" t="s">
        <v>15</v>
      </c>
      <c r="C29" s="1">
        <v>12345</v>
      </c>
      <c r="D29" s="4">
        <v>0.82550000000000001</v>
      </c>
      <c r="E29" s="4">
        <v>0.86970000000000003</v>
      </c>
      <c r="F29" s="4">
        <v>0.87060000000000004</v>
      </c>
      <c r="G29" s="4">
        <v>0.76419999999999999</v>
      </c>
      <c r="H29" s="4">
        <v>0.84379999999999999</v>
      </c>
      <c r="I29" s="4">
        <v>0.75</v>
      </c>
      <c r="J29" s="4">
        <v>0.80200000000000005</v>
      </c>
    </row>
    <row r="30" spans="1:10" x14ac:dyDescent="0.4">
      <c r="A30" s="3" t="s">
        <v>18</v>
      </c>
      <c r="B30" s="1" t="s">
        <v>15</v>
      </c>
      <c r="C30" s="1">
        <v>666</v>
      </c>
      <c r="D30" s="4">
        <v>0.8115</v>
      </c>
      <c r="E30" s="4">
        <v>0.86739999999999995</v>
      </c>
      <c r="F30" s="4">
        <v>0.86829999999999996</v>
      </c>
      <c r="G30" s="4">
        <v>0.77139999999999997</v>
      </c>
      <c r="H30" s="4">
        <v>0.84379999999999999</v>
      </c>
      <c r="I30" s="4">
        <v>0.75619999999999998</v>
      </c>
      <c r="J30" s="4">
        <v>0.80600000000000005</v>
      </c>
    </row>
    <row r="31" spans="1:10" x14ac:dyDescent="0.4">
      <c r="D31" t="str">
        <f xml:space="preserve"> TEXT(AVERAGE(D26:D30),"0.0000") &amp; "±" &amp; TEXT(_xlfn.STDEV.S(D26:D30),"0.0000")</f>
        <v>0.8174±0.0111</v>
      </c>
      <c r="E31" t="str">
        <f t="shared" ref="E31:J31" si="4" xml:space="preserve"> TEXT(AVERAGE(E26:E30),"0.0000") &amp; "±" &amp; TEXT(_xlfn.STDEV.S(E26:E30),"0.0000")</f>
        <v>0.8672±0.0159</v>
      </c>
      <c r="F31" t="str">
        <f t="shared" si="4"/>
        <v>0.8681±0.0157</v>
      </c>
      <c r="G31" t="str">
        <f t="shared" si="4"/>
        <v>0.7651±0.0221</v>
      </c>
      <c r="H31" t="str">
        <f t="shared" si="4"/>
        <v>0.8500±0.0394</v>
      </c>
      <c r="I31" t="str">
        <f t="shared" si="4"/>
        <v>0.7525±0.0157</v>
      </c>
      <c r="J31" t="str">
        <f t="shared" si="4"/>
        <v>0.8046±0.0136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celegans</vt:lpstr>
      <vt:lpstr>human</vt:lpstr>
      <vt:lpstr>Article</vt:lpstr>
      <vt:lpstr>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牛　文涛</cp:lastModifiedBy>
  <dcterms:created xsi:type="dcterms:W3CDTF">2015-06-05T18:19:34Z</dcterms:created>
  <dcterms:modified xsi:type="dcterms:W3CDTF">2026-07-29T08:49:19Z</dcterms:modified>
</cp:coreProperties>
</file>