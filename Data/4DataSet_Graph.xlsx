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u\Documents\Codex\2026-07-14\7-30-slack-plugin-slack-openai-4\outputs\VLM_DTI_FinalProvenance_20260723\VLM-DTI source code\Data\"/>
    </mc:Choice>
  </mc:AlternateContent>
  <xr:revisionPtr revIDLastSave="0" documentId="13_ncr:1_{1121A6F4-96D1-44BC-8CCB-9C1522831B25}" xr6:coauthVersionLast="47" xr6:coauthVersionMax="47" xr10:uidLastSave="{00000000-0000-0000-0000-000000000000}"/>
  <bookViews>
    <workbookView xWindow="7515" yWindow="300" windowWidth="16350" windowHeight="12420" xr2:uid="{00000000-000D-0000-FFFF-FFFF00000000}"/>
  </bookViews>
  <sheets>
    <sheet name="celegans" sheetId="1" r:id="rId1"/>
    <sheet name="human" sheetId="2" r:id="rId2"/>
    <sheet name="Article" sheetId="3" r:id="rId3"/>
    <sheet name="Pat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4" l="1"/>
  <c r="E25" i="4"/>
  <c r="F25" i="4"/>
  <c r="G25" i="4"/>
  <c r="H25" i="4"/>
  <c r="I25" i="4"/>
  <c r="J25" i="4"/>
  <c r="J31" i="4"/>
  <c r="I31" i="4"/>
  <c r="H31" i="4"/>
  <c r="G31" i="4"/>
  <c r="F31" i="4"/>
  <c r="E31" i="4"/>
  <c r="D31" i="4"/>
  <c r="J19" i="4"/>
  <c r="I19" i="4"/>
  <c r="H19" i="4"/>
  <c r="G19" i="4"/>
  <c r="F19" i="4"/>
  <c r="E19" i="4"/>
  <c r="D19" i="4"/>
  <c r="J13" i="4"/>
  <c r="I13" i="4"/>
  <c r="H13" i="4"/>
  <c r="G13" i="4"/>
  <c r="F13" i="4"/>
  <c r="E13" i="4"/>
  <c r="D13" i="4"/>
  <c r="J7" i="4"/>
  <c r="I7" i="4"/>
  <c r="H7" i="4"/>
  <c r="G7" i="4"/>
  <c r="F7" i="4"/>
  <c r="E7" i="4"/>
  <c r="D7" i="4"/>
  <c r="J31" i="3"/>
  <c r="I31" i="3"/>
  <c r="H31" i="3"/>
  <c r="G31" i="3"/>
  <c r="F31" i="3"/>
  <c r="E31" i="3"/>
  <c r="D31" i="3"/>
  <c r="J25" i="3"/>
  <c r="I25" i="3"/>
  <c r="H25" i="3"/>
  <c r="G25" i="3"/>
  <c r="F25" i="3"/>
  <c r="E25" i="3"/>
  <c r="D25" i="3"/>
  <c r="J19" i="3"/>
  <c r="I19" i="3"/>
  <c r="H19" i="3"/>
  <c r="G19" i="3"/>
  <c r="F19" i="3"/>
  <c r="E19" i="3"/>
  <c r="D19" i="3"/>
  <c r="J13" i="3"/>
  <c r="I13" i="3"/>
  <c r="H13" i="3"/>
  <c r="G13" i="3"/>
  <c r="F13" i="3"/>
  <c r="E13" i="3"/>
  <c r="D13" i="3"/>
  <c r="J7" i="3"/>
  <c r="I7" i="3"/>
  <c r="H7" i="3"/>
  <c r="G7" i="3"/>
  <c r="F7" i="3"/>
  <c r="E7" i="3"/>
  <c r="D7" i="3"/>
  <c r="J31" i="2"/>
  <c r="I31" i="2"/>
  <c r="H31" i="2"/>
  <c r="G31" i="2"/>
  <c r="F31" i="2"/>
  <c r="E31" i="2"/>
  <c r="D31" i="2"/>
  <c r="J25" i="2"/>
  <c r="I25" i="2"/>
  <c r="H25" i="2"/>
  <c r="G25" i="2"/>
  <c r="F25" i="2"/>
  <c r="E25" i="2"/>
  <c r="D25" i="2"/>
  <c r="J19" i="2"/>
  <c r="I19" i="2"/>
  <c r="H19" i="2"/>
  <c r="G19" i="2"/>
  <c r="F19" i="2"/>
  <c r="E19" i="2"/>
  <c r="D19" i="2"/>
  <c r="J13" i="2"/>
  <c r="I13" i="2"/>
  <c r="H13" i="2"/>
  <c r="G13" i="2"/>
  <c r="F13" i="2"/>
  <c r="E13" i="2"/>
  <c r="D13" i="2"/>
  <c r="J7" i="2"/>
  <c r="I7" i="2"/>
  <c r="H7" i="2"/>
  <c r="G7" i="2"/>
  <c r="F7" i="2"/>
  <c r="E7" i="2"/>
  <c r="D7" i="2"/>
  <c r="E31" i="1"/>
  <c r="F31" i="1"/>
  <c r="G31" i="1"/>
  <c r="H31" i="1"/>
  <c r="I31" i="1"/>
  <c r="J31" i="1"/>
  <c r="D31" i="1"/>
  <c r="E25" i="1"/>
  <c r="F25" i="1"/>
  <c r="G25" i="1"/>
  <c r="H25" i="1"/>
  <c r="I25" i="1"/>
  <c r="J25" i="1"/>
  <c r="D25" i="1"/>
  <c r="E19" i="1"/>
  <c r="F19" i="1"/>
  <c r="G19" i="1"/>
  <c r="H19" i="1"/>
  <c r="I19" i="1"/>
  <c r="J19" i="1"/>
  <c r="D19" i="1"/>
  <c r="E13" i="1"/>
  <c r="F13" i="1"/>
  <c r="G13" i="1"/>
  <c r="H13" i="1"/>
  <c r="I13" i="1"/>
  <c r="J13" i="1"/>
  <c r="D13" i="1"/>
  <c r="E7" i="1"/>
  <c r="F7" i="1"/>
  <c r="G7" i="1"/>
  <c r="H7" i="1"/>
  <c r="I7" i="1"/>
  <c r="J7" i="1"/>
  <c r="D7" i="1"/>
</calcChain>
</file>

<file path=xl/sharedStrings.xml><?xml version="1.0" encoding="utf-8"?>
<sst xmlns="http://schemas.openxmlformats.org/spreadsheetml/2006/main" count="240" uniqueCount="19">
  <si>
    <t>Dataset</t>
  </si>
  <si>
    <t>Split</t>
  </si>
  <si>
    <t>Seed</t>
  </si>
  <si>
    <t>AUC_Test</t>
  </si>
  <si>
    <t>PRAUC_Test</t>
  </si>
  <si>
    <t>AUPRC_Test</t>
  </si>
  <si>
    <t>Precision_Test</t>
  </si>
  <si>
    <t>Recall_Test</t>
  </si>
  <si>
    <t>Accuracy_Test</t>
  </si>
  <si>
    <t>F1_Test</t>
  </si>
  <si>
    <t>celegans</t>
  </si>
  <si>
    <t>random</t>
  </si>
  <si>
    <t>cold_smiles</t>
  </si>
  <si>
    <t>cold_protein</t>
  </si>
  <si>
    <t>cold_both</t>
  </si>
  <si>
    <t>cluster</t>
  </si>
  <si>
    <t>human</t>
    <phoneticPr fontId="25" type="noConversion"/>
  </si>
  <si>
    <t>Article</t>
    <phoneticPr fontId="25" type="noConversion"/>
  </si>
  <si>
    <t>Patent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</si>
</sst>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8"/>
      <color theme="3"/>
      <name val="Yu Gothic Light"/>
      <family val="2"/>
      <charset val="134"/>
      <scheme val="major"/>
    </font>
    <font>
      <b/>
      <sz val="15"/>
      <color theme="3"/>
      <name val="Yu Gothic"/>
      <family val="2"/>
      <charset val="134"/>
      <scheme val="minor"/>
    </font>
    <font>
      <b/>
      <sz val="13"/>
      <color theme="3"/>
      <name val="Yu Gothic"/>
      <family val="2"/>
      <charset val="134"/>
      <scheme val="minor"/>
    </font>
    <font>
      <b/>
      <sz val="11"/>
      <color theme="3"/>
      <name val="Yu Gothic"/>
      <family val="2"/>
      <charset val="134"/>
      <scheme val="minor"/>
    </font>
    <font>
      <sz val="11"/>
      <color rgb="FF006100"/>
      <name val="Yu Gothic"/>
      <family val="2"/>
      <charset val="134"/>
      <scheme val="minor"/>
    </font>
    <font>
      <sz val="11"/>
      <color rgb="FF9C0006"/>
      <name val="Yu Gothic"/>
      <family val="2"/>
      <charset val="134"/>
      <scheme val="minor"/>
    </font>
    <font>
      <sz val="11"/>
      <color rgb="FF9C5700"/>
      <name val="Yu Gothic"/>
      <family val="2"/>
      <charset val="134"/>
      <scheme val="minor"/>
    </font>
    <font>
      <sz val="11"/>
      <color rgb="FF3F3F76"/>
      <name val="Yu Gothic"/>
      <family val="2"/>
      <charset val="134"/>
      <scheme val="minor"/>
    </font>
    <font>
      <b/>
      <sz val="11"/>
      <color rgb="FF3F3F3F"/>
      <name val="Yu Gothic"/>
      <family val="2"/>
      <charset val="134"/>
      <scheme val="minor"/>
    </font>
    <font>
      <b/>
      <sz val="11"/>
      <color rgb="FFFA7D00"/>
      <name val="Yu Gothic"/>
      <family val="2"/>
      <charset val="134"/>
      <scheme val="minor"/>
    </font>
    <font>
      <sz val="11"/>
      <color rgb="FFFA7D00"/>
      <name val="Yu Gothic"/>
      <family val="2"/>
      <charset val="134"/>
      <scheme val="minor"/>
    </font>
    <font>
      <b/>
      <sz val="11"/>
      <color theme="0"/>
      <name val="Yu Gothic"/>
      <family val="2"/>
      <charset val="134"/>
      <scheme val="minor"/>
    </font>
    <font>
      <sz val="11"/>
      <color rgb="FFFF0000"/>
      <name val="Yu Gothic"/>
      <family val="2"/>
      <charset val="134"/>
      <scheme val="minor"/>
    </font>
    <font>
      <i/>
      <sz val="11"/>
      <color rgb="FF7F7F7F"/>
      <name val="Yu Gothic"/>
      <family val="2"/>
      <charset val="134"/>
      <scheme val="minor"/>
    </font>
    <font>
      <b/>
      <sz val="11"/>
      <color theme="1"/>
      <name val="Yu Gothic"/>
      <family val="2"/>
      <charset val="134"/>
      <scheme val="minor"/>
    </font>
    <font>
      <sz val="11"/>
      <color theme="0"/>
      <name val="Yu Gothic"/>
      <family val="2"/>
      <charset val="134"/>
      <scheme val="minor"/>
    </font>
    <font>
      <sz val="9"/>
      <name val="Yu Gothic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3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8" fillId="0" borderId="0" xfId="41">
      <alignment vertical="center"/>
    </xf>
    <xf numFmtId="0" fontId="7" fillId="0" borderId="0" xfId="41" applyFont="1">
      <alignment vertical="center"/>
    </xf>
    <xf numFmtId="0" fontId="6" fillId="0" borderId="0" xfId="41" applyFont="1">
      <alignment vertical="center"/>
    </xf>
    <xf numFmtId="0" fontId="0" fillId="0" borderId="0" xfId="0" applyAlignment="1">
      <alignment vertical="center"/>
    </xf>
  </cellXfs>
  <cellStyles count="143">
    <cellStyle name="20% - 着色 1" xfId="18" builtinId="30" customBuiltin="1"/>
    <cellStyle name="20% - 着色 1 2" xfId="45" xr:uid="{631A7372-A942-4A52-BDED-97E4C6DB0408}"/>
    <cellStyle name="20% - 着色 1 3" xfId="65" xr:uid="{56AABC51-9393-4998-8DFD-9D883448C235}"/>
    <cellStyle name="20% - 着色 1 4" xfId="85" xr:uid="{CB84EA57-D6BF-4014-B0AA-2D5B9D16C222}"/>
    <cellStyle name="20% - 着色 1 5" xfId="105" xr:uid="{AFC892CB-3A61-490E-8D13-A6BB90DBA78E}"/>
    <cellStyle name="20% - 着色 1 6" xfId="125" xr:uid="{A1461F31-E7AF-4311-854B-0DD0C40E3C6C}"/>
    <cellStyle name="20% - 着色 2" xfId="22" builtinId="34" customBuiltin="1"/>
    <cellStyle name="20% - 着色 2 2" xfId="48" xr:uid="{6A4DC293-89CD-4019-862F-19221404CC3D}"/>
    <cellStyle name="20% - 着色 2 3" xfId="68" xr:uid="{70E8CAA7-A404-468C-922C-D38F8164043E}"/>
    <cellStyle name="20% - 着色 2 4" xfId="88" xr:uid="{5507E9B2-3FC8-4BCE-B08F-8A9EB643F584}"/>
    <cellStyle name="20% - 着色 2 5" xfId="108" xr:uid="{4B18CD4F-E694-4C1F-8ADC-3CF2C3893337}"/>
    <cellStyle name="20% - 着色 2 6" xfId="128" xr:uid="{335F97AA-B55F-4F0E-9D7E-B763D130EB12}"/>
    <cellStyle name="20% - 着色 3" xfId="26" builtinId="38" customBuiltin="1"/>
    <cellStyle name="20% - 着色 3 2" xfId="51" xr:uid="{A8933B8F-B7BD-4069-A793-A567F4C456F4}"/>
    <cellStyle name="20% - 着色 3 3" xfId="71" xr:uid="{7510CD13-78D8-4417-89E6-5FB19CE81182}"/>
    <cellStyle name="20% - 着色 3 4" xfId="91" xr:uid="{8685F12C-954F-40D7-8C88-8C4EB3110018}"/>
    <cellStyle name="20% - 着色 3 5" xfId="111" xr:uid="{234E29D2-E6E6-461B-8A8B-9A1A9E60B46D}"/>
    <cellStyle name="20% - 着色 3 6" xfId="131" xr:uid="{FEED36D1-4D3D-4DDB-88D1-1B56DD58CE7F}"/>
    <cellStyle name="20% - 着色 4" xfId="30" builtinId="42" customBuiltin="1"/>
    <cellStyle name="20% - 着色 4 2" xfId="54" xr:uid="{659BC925-A1C0-4C2B-8B95-A0D3951A1948}"/>
    <cellStyle name="20% - 着色 4 3" xfId="74" xr:uid="{5600C31C-03BB-4868-9FAF-AA20E501B9B3}"/>
    <cellStyle name="20% - 着色 4 4" xfId="94" xr:uid="{DB8BBC72-CC6B-4A78-98E5-D47A76900BF2}"/>
    <cellStyle name="20% - 着色 4 5" xfId="114" xr:uid="{61CB142A-206E-47AF-B207-D1F5A1B5B412}"/>
    <cellStyle name="20% - 着色 4 6" xfId="134" xr:uid="{58B17B6B-B61B-48B6-A220-49B07BF124A4}"/>
    <cellStyle name="20% - 着色 5" xfId="34" builtinId="46" customBuiltin="1"/>
    <cellStyle name="20% - 着色 5 2" xfId="57" xr:uid="{90EF5071-6EFE-4782-AF86-9ECB5F4238E4}"/>
    <cellStyle name="20% - 着色 5 3" xfId="77" xr:uid="{F1181EA4-7FD0-4E3B-B002-485D1C01DFE0}"/>
    <cellStyle name="20% - 着色 5 4" xfId="97" xr:uid="{0DEAD9ED-B107-4340-A9D4-ACD2C477DEB6}"/>
    <cellStyle name="20% - 着色 5 5" xfId="117" xr:uid="{F528A756-AE66-486B-84F7-9E9B3EC7011B}"/>
    <cellStyle name="20% - 着色 5 6" xfId="137" xr:uid="{5FEAB2C2-E2E0-4EF0-9B81-2C46599DB0C1}"/>
    <cellStyle name="20% - 着色 6" xfId="38" builtinId="50" customBuiltin="1"/>
    <cellStyle name="20% - 着色 6 2" xfId="60" xr:uid="{262DC657-0A65-4157-BDEE-39B1F2F234D4}"/>
    <cellStyle name="20% - 着色 6 3" xfId="80" xr:uid="{D6525EAD-5066-45D6-86ED-0E0E21172AD5}"/>
    <cellStyle name="20% - 着色 6 4" xfId="100" xr:uid="{5AD7AEBE-92F6-44A6-9CF7-228F669645F3}"/>
    <cellStyle name="20% - 着色 6 5" xfId="120" xr:uid="{A9211D6D-63B9-40D5-94D4-76360DB55852}"/>
    <cellStyle name="20% - 着色 6 6" xfId="140" xr:uid="{FC9C5CFF-0AE1-4FC3-91CD-CE36139D9F65}"/>
    <cellStyle name="40% - 着色 1" xfId="19" builtinId="31" customBuiltin="1"/>
    <cellStyle name="40% - 着色 1 2" xfId="46" xr:uid="{CD65E19E-1BA1-47B1-AEA1-0968D6FD55CE}"/>
    <cellStyle name="40% - 着色 1 3" xfId="66" xr:uid="{6685EC54-982F-4AEB-A492-3A7D491EA975}"/>
    <cellStyle name="40% - 着色 1 4" xfId="86" xr:uid="{37A31E1A-9039-45EC-8B3E-32FD1205FC36}"/>
    <cellStyle name="40% - 着色 1 5" xfId="106" xr:uid="{5BBD7BF1-EA65-4507-B1B5-D2333231BB78}"/>
    <cellStyle name="40% - 着色 1 6" xfId="126" xr:uid="{E558EF9C-8291-4CA2-B880-9D8327D3946D}"/>
    <cellStyle name="40% - 着色 2" xfId="23" builtinId="35" customBuiltin="1"/>
    <cellStyle name="40% - 着色 2 2" xfId="49" xr:uid="{DAEB1DCD-E3F1-413F-882A-385BD42877D7}"/>
    <cellStyle name="40% - 着色 2 3" xfId="69" xr:uid="{8DD48D7A-65FC-4441-819D-E1B9BD89A9CD}"/>
    <cellStyle name="40% - 着色 2 4" xfId="89" xr:uid="{CDC87EEC-9FF2-422F-919A-DBA44F498FA4}"/>
    <cellStyle name="40% - 着色 2 5" xfId="109" xr:uid="{DACE0C3F-3BAC-4BDE-907D-7E4B347F5EF5}"/>
    <cellStyle name="40% - 着色 2 6" xfId="129" xr:uid="{50E17335-1784-4570-8BFB-CBC8EEA3DC3F}"/>
    <cellStyle name="40% - 着色 3" xfId="27" builtinId="39" customBuiltin="1"/>
    <cellStyle name="40% - 着色 3 2" xfId="52" xr:uid="{6DBD6CD2-C8D6-4F6E-855F-3A8F35E5B744}"/>
    <cellStyle name="40% - 着色 3 3" xfId="72" xr:uid="{78322575-F9A7-4657-BCBD-42369312B633}"/>
    <cellStyle name="40% - 着色 3 4" xfId="92" xr:uid="{4633610D-0F8E-4489-AB35-6BB16DBC38AD}"/>
    <cellStyle name="40% - 着色 3 5" xfId="112" xr:uid="{AD48368B-303B-4BA3-812F-CCBE4C4EEF8A}"/>
    <cellStyle name="40% - 着色 3 6" xfId="132" xr:uid="{A69DCCDE-5476-474E-90FF-F204CBBAEEDE}"/>
    <cellStyle name="40% - 着色 4" xfId="31" builtinId="43" customBuiltin="1"/>
    <cellStyle name="40% - 着色 4 2" xfId="55" xr:uid="{C11AB2BB-0922-41A0-B363-E596D28A20FD}"/>
    <cellStyle name="40% - 着色 4 3" xfId="75" xr:uid="{483EFE0A-C4B5-42FD-B50C-489E54A922D8}"/>
    <cellStyle name="40% - 着色 4 4" xfId="95" xr:uid="{3A3F0992-7EEA-4CD7-A062-A16FEA25C800}"/>
    <cellStyle name="40% - 着色 4 5" xfId="115" xr:uid="{5D2BBE6F-C54D-4F23-8007-A34638470011}"/>
    <cellStyle name="40% - 着色 4 6" xfId="135" xr:uid="{64528971-77B7-4223-B2C5-7A12B213D9C4}"/>
    <cellStyle name="40% - 着色 5" xfId="35" builtinId="47" customBuiltin="1"/>
    <cellStyle name="40% - 着色 5 2" xfId="58" xr:uid="{06864929-D609-4E5A-AC23-B991FB665BF2}"/>
    <cellStyle name="40% - 着色 5 3" xfId="78" xr:uid="{5F50EBDB-8A96-4F28-A7DC-B8F2D7E69841}"/>
    <cellStyle name="40% - 着色 5 4" xfId="98" xr:uid="{F2824923-6C4C-468B-A424-2CE085758F01}"/>
    <cellStyle name="40% - 着色 5 5" xfId="118" xr:uid="{202AD565-C482-404C-B397-B2EE73C75249}"/>
    <cellStyle name="40% - 着色 5 6" xfId="138" xr:uid="{1AD2B8D8-9F3A-4E39-9680-80C9CEC01AAB}"/>
    <cellStyle name="40% - 着色 6" xfId="39" builtinId="51" customBuiltin="1"/>
    <cellStyle name="40% - 着色 6 2" xfId="61" xr:uid="{38E09F43-2066-4B3B-8841-81B671097222}"/>
    <cellStyle name="40% - 着色 6 3" xfId="81" xr:uid="{4782943A-BD1D-4019-8B7B-87DD175B4031}"/>
    <cellStyle name="40% - 着色 6 4" xfId="101" xr:uid="{1BC64C9B-4BBC-4152-A238-24C96F560E8A}"/>
    <cellStyle name="40% - 着色 6 5" xfId="121" xr:uid="{AAC8FEB6-3145-43F8-A3A7-C68F89F1B60B}"/>
    <cellStyle name="40% - 着色 6 6" xfId="141" xr:uid="{969C935A-3AED-4BD0-868A-E703064B30D6}"/>
    <cellStyle name="60% - 着色 1" xfId="20" builtinId="32" customBuiltin="1"/>
    <cellStyle name="60% - 着色 1 2" xfId="47" xr:uid="{A554982A-5FD7-45B5-ABE1-4083A572DD7B}"/>
    <cellStyle name="60% - 着色 1 3" xfId="67" xr:uid="{FB2E2471-407A-4391-95D1-F5467775887E}"/>
    <cellStyle name="60% - 着色 1 4" xfId="87" xr:uid="{93C81AC1-ED28-47D7-A1BC-FF313BE44DED}"/>
    <cellStyle name="60% - 着色 1 5" xfId="107" xr:uid="{237413DC-50C4-49A3-83AD-64A748594CE8}"/>
    <cellStyle name="60% - 着色 1 6" xfId="127" xr:uid="{F5D3B3B4-41A2-436E-A169-D0C2DAEAE6DC}"/>
    <cellStyle name="60% - 着色 2" xfId="24" builtinId="36" customBuiltin="1"/>
    <cellStyle name="60% - 着色 2 2" xfId="50" xr:uid="{19BE0BEF-D624-4EE9-9257-834C0678019E}"/>
    <cellStyle name="60% - 着色 2 3" xfId="70" xr:uid="{BB437F35-03BF-4861-BD2B-B359A7A6067D}"/>
    <cellStyle name="60% - 着色 2 4" xfId="90" xr:uid="{86E6D2A1-475D-4170-AD40-25F26D16DF3E}"/>
    <cellStyle name="60% - 着色 2 5" xfId="110" xr:uid="{19BBC151-1C51-46FE-864B-3A78D3F93614}"/>
    <cellStyle name="60% - 着色 2 6" xfId="130" xr:uid="{EC369AD1-92E5-438B-8515-9CF2F5F9E6D9}"/>
    <cellStyle name="60% - 着色 3" xfId="28" builtinId="40" customBuiltin="1"/>
    <cellStyle name="60% - 着色 3 2" xfId="53" xr:uid="{A4D04FF9-8E5C-4D67-A59F-FBE0C5347AF7}"/>
    <cellStyle name="60% - 着色 3 3" xfId="73" xr:uid="{1428FAE4-E8C3-48D2-A11F-AC4235AB9290}"/>
    <cellStyle name="60% - 着色 3 4" xfId="93" xr:uid="{9BA5E2DD-686D-478D-941E-F6E0A64A88FA}"/>
    <cellStyle name="60% - 着色 3 5" xfId="113" xr:uid="{4088A86E-FD6E-49A2-9FF0-28782124006F}"/>
    <cellStyle name="60% - 着色 3 6" xfId="133" xr:uid="{06AF6C2B-E274-4C89-A367-357B36D3E905}"/>
    <cellStyle name="60% - 着色 4" xfId="32" builtinId="44" customBuiltin="1"/>
    <cellStyle name="60% - 着色 4 2" xfId="56" xr:uid="{C76605BB-D6D4-47C1-84A2-BD5EB42A8C3A}"/>
    <cellStyle name="60% - 着色 4 3" xfId="76" xr:uid="{B2E593C2-DA13-43E3-9A8D-66297A6BBE51}"/>
    <cellStyle name="60% - 着色 4 4" xfId="96" xr:uid="{801BA9F6-0E72-47FA-B219-430FAF59374D}"/>
    <cellStyle name="60% - 着色 4 5" xfId="116" xr:uid="{763DF44B-DFA1-4096-BB94-F6EEAEC3BD35}"/>
    <cellStyle name="60% - 着色 4 6" xfId="136" xr:uid="{961F640B-6A9F-4D87-9206-CAB58107BDAD}"/>
    <cellStyle name="60% - 着色 5" xfId="36" builtinId="48" customBuiltin="1"/>
    <cellStyle name="60% - 着色 5 2" xfId="59" xr:uid="{5F19B3F2-B248-4396-846D-637D4900097A}"/>
    <cellStyle name="60% - 着色 5 3" xfId="79" xr:uid="{1E386808-5C4A-4519-9E4E-DF2C58EF5A01}"/>
    <cellStyle name="60% - 着色 5 4" xfId="99" xr:uid="{444230EB-23EE-44C8-9705-868DBFC32204}"/>
    <cellStyle name="60% - 着色 5 5" xfId="119" xr:uid="{A3E03B2F-8C0E-4DE0-86D7-ABA7F9A5A29E}"/>
    <cellStyle name="60% - 着色 5 6" xfId="139" xr:uid="{8BB3DDF9-1740-4958-955C-56D9E46FC9AA}"/>
    <cellStyle name="60% - 着色 6" xfId="40" builtinId="52" customBuiltin="1"/>
    <cellStyle name="60% - 着色 6 2" xfId="62" xr:uid="{41359507-9234-473A-A2F2-205C3FCB5C20}"/>
    <cellStyle name="60% - 着色 6 3" xfId="82" xr:uid="{0DB6592A-7462-43CB-8996-0776D8351480}"/>
    <cellStyle name="60% - 着色 6 4" xfId="102" xr:uid="{60187D8F-F6F9-47D6-8278-A5ED76CC494C}"/>
    <cellStyle name="60% - 着色 6 5" xfId="122" xr:uid="{090319BF-6E96-4949-8402-5EE770C88507}"/>
    <cellStyle name="60% - 着色 6 6" xfId="142" xr:uid="{1C5DAFE4-3E6A-481B-8772-3A33300EA48A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9CF3D909-F7E9-47A7-BDB6-C6D0D623462C}"/>
    <cellStyle name="常规 3" xfId="43" xr:uid="{866F4CA7-96A3-4333-ACBD-729B68C796EC}"/>
    <cellStyle name="常规 4" xfId="63" xr:uid="{0B3FCBC7-2C4D-4396-8F4F-FBD42A224388}"/>
    <cellStyle name="常规 5" xfId="83" xr:uid="{41AAEAB9-F640-4E57-A46B-45A6552F286E}"/>
    <cellStyle name="常规 6" xfId="103" xr:uid="{64BFAC25-A285-4E4E-8F70-81AF628E281A}"/>
    <cellStyle name="常规 7" xfId="123" xr:uid="{A2196C91-3E5D-4AFE-8BD5-FA263357379B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8EAE4821-A933-46B2-BD81-B7B20FBFA1EB}"/>
    <cellStyle name="注释 3" xfId="44" xr:uid="{F9FCB5FD-24BD-4B3D-8B47-C3AF0C231D35}"/>
    <cellStyle name="注释 4" xfId="64" xr:uid="{D386D93C-D98E-4719-B26B-1DF3B9C79F7E}"/>
    <cellStyle name="注释 5" xfId="84" xr:uid="{7C3AD71C-EF84-4EC4-8DE7-A578B2FBF9C0}"/>
    <cellStyle name="注释 6" xfId="104" xr:uid="{730C0665-7725-489C-A345-F2B7E9C4418D}"/>
    <cellStyle name="注释 7" xfId="124" xr:uid="{4DA805FD-284D-48B0-B7C5-AC139773C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L10" sqref="L10"/>
    </sheetView>
  </sheetViews>
  <sheetFormatPr defaultRowHeight="18.75" x14ac:dyDescent="0.4"/>
  <cols>
    <col min="2" max="2" width="14.37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1" t="s">
        <v>10</v>
      </c>
      <c r="B2" s="1" t="s">
        <v>11</v>
      </c>
      <c r="C2" s="1">
        <v>42</v>
      </c>
      <c r="D2" s="4">
        <v>0.98009999999999997</v>
      </c>
      <c r="E2" s="4">
        <v>0.98019999999999996</v>
      </c>
      <c r="F2" s="4">
        <v>0.98029999999999995</v>
      </c>
      <c r="G2" s="4">
        <v>0.90859999999999996</v>
      </c>
      <c r="H2" s="4">
        <v>0.95469999999999999</v>
      </c>
      <c r="I2" s="4">
        <v>0.93200000000000005</v>
      </c>
      <c r="J2" s="4">
        <v>0.93110000000000004</v>
      </c>
    </row>
    <row r="3" spans="1:10" x14ac:dyDescent="0.4">
      <c r="A3" s="1" t="s">
        <v>10</v>
      </c>
      <c r="B3" s="1" t="s">
        <v>11</v>
      </c>
      <c r="C3" s="1">
        <v>1234</v>
      </c>
      <c r="D3" s="4">
        <v>0.98029999999999995</v>
      </c>
      <c r="E3" s="4">
        <v>0.97960000000000003</v>
      </c>
      <c r="F3" s="4">
        <v>0.97960000000000003</v>
      </c>
      <c r="G3" s="4">
        <v>0.93100000000000005</v>
      </c>
      <c r="H3" s="4">
        <v>0.93600000000000005</v>
      </c>
      <c r="I3" s="4">
        <v>0.93579999999999997</v>
      </c>
      <c r="J3" s="4">
        <v>0.9335</v>
      </c>
    </row>
    <row r="4" spans="1:10" x14ac:dyDescent="0.4">
      <c r="A4" s="1" t="s">
        <v>10</v>
      </c>
      <c r="B4" s="1" t="s">
        <v>11</v>
      </c>
      <c r="C4" s="1">
        <v>2025</v>
      </c>
      <c r="D4" s="4">
        <v>0.9829</v>
      </c>
      <c r="E4" s="4">
        <v>0.98329999999999995</v>
      </c>
      <c r="F4" s="4">
        <v>0.98329999999999995</v>
      </c>
      <c r="G4" s="4">
        <v>0.9002</v>
      </c>
      <c r="H4" s="4">
        <v>0.9627</v>
      </c>
      <c r="I4" s="4">
        <v>0.93069999999999997</v>
      </c>
      <c r="J4" s="4">
        <v>0.9304</v>
      </c>
    </row>
    <row r="5" spans="1:10" x14ac:dyDescent="0.4">
      <c r="A5" s="1" t="s">
        <v>10</v>
      </c>
      <c r="B5" s="1" t="s">
        <v>11</v>
      </c>
      <c r="C5" s="1">
        <v>12345</v>
      </c>
      <c r="D5" s="4">
        <v>0.98009999999999997</v>
      </c>
      <c r="E5" s="4">
        <v>0.97970000000000002</v>
      </c>
      <c r="F5" s="4">
        <v>0.97970000000000002</v>
      </c>
      <c r="G5" s="4">
        <v>0.9365</v>
      </c>
      <c r="H5" s="4">
        <v>0.94399999999999995</v>
      </c>
      <c r="I5" s="4">
        <v>0.94220000000000004</v>
      </c>
      <c r="J5" s="4">
        <v>0.94020000000000004</v>
      </c>
    </row>
    <row r="6" spans="1:10" x14ac:dyDescent="0.4">
      <c r="A6" s="1" t="s">
        <v>10</v>
      </c>
      <c r="B6" s="1" t="s">
        <v>11</v>
      </c>
      <c r="C6" s="1">
        <v>666</v>
      </c>
      <c r="D6" s="4">
        <v>0.98570000000000002</v>
      </c>
      <c r="E6" s="4">
        <v>0.98670000000000002</v>
      </c>
      <c r="F6" s="4">
        <v>0.98670000000000002</v>
      </c>
      <c r="G6" s="4">
        <v>0.93679999999999997</v>
      </c>
      <c r="H6" s="4">
        <v>0.94930000000000003</v>
      </c>
      <c r="I6" s="4">
        <v>0.94479999999999997</v>
      </c>
      <c r="J6" s="4">
        <v>0.94299999999999995</v>
      </c>
    </row>
    <row r="7" spans="1:10" x14ac:dyDescent="0.4">
      <c r="A7" s="1"/>
      <c r="B7" s="1"/>
      <c r="C7" s="1"/>
      <c r="D7" t="str">
        <f xml:space="preserve"> TEXT(AVERAGE(D2:D6),"0.0000") &amp; "±" &amp; TEXT(_xlfn.STDEV.S(D2:D6),"0.0000")</f>
        <v>0.9818±0.0025</v>
      </c>
      <c r="E7" t="str">
        <f t="shared" ref="E7:J7" si="0" xml:space="preserve"> TEXT(AVERAGE(E2:E6),"0.0000") &amp; "±" &amp; TEXT(_xlfn.STDEV.S(E2:E6),"0.0000")</f>
        <v>0.9819±0.0031</v>
      </c>
      <c r="F7" t="str">
        <f t="shared" si="0"/>
        <v>0.9819±0.0031</v>
      </c>
      <c r="G7" t="str">
        <f t="shared" si="0"/>
        <v>0.9226±0.0171</v>
      </c>
      <c r="H7" t="str">
        <f t="shared" si="0"/>
        <v>0.9493±0.0102</v>
      </c>
      <c r="I7" t="str">
        <f t="shared" si="0"/>
        <v>0.9371±0.0062</v>
      </c>
      <c r="J7" t="str">
        <f t="shared" si="0"/>
        <v>0.9356±0.0056</v>
      </c>
    </row>
    <row r="8" spans="1:10" x14ac:dyDescent="0.4">
      <c r="A8" s="1" t="s">
        <v>10</v>
      </c>
      <c r="B8" s="1" t="s">
        <v>12</v>
      </c>
      <c r="C8" s="1">
        <v>42</v>
      </c>
      <c r="D8" s="4">
        <v>0.85660000000000003</v>
      </c>
      <c r="E8" s="4">
        <v>0.80759999999999998</v>
      </c>
      <c r="F8" s="4">
        <v>0.80830000000000002</v>
      </c>
      <c r="G8" s="4">
        <v>0.65610000000000002</v>
      </c>
      <c r="H8" s="4">
        <v>0.86739999999999995</v>
      </c>
      <c r="I8" s="4">
        <v>0.75460000000000005</v>
      </c>
      <c r="J8" s="4">
        <v>0.747</v>
      </c>
    </row>
    <row r="9" spans="1:10" x14ac:dyDescent="0.4">
      <c r="A9" s="1" t="s">
        <v>10</v>
      </c>
      <c r="B9" s="1" t="s">
        <v>12</v>
      </c>
      <c r="C9" s="1">
        <v>1234</v>
      </c>
      <c r="D9" s="4">
        <v>0.86450000000000005</v>
      </c>
      <c r="E9" s="4">
        <v>0.79830000000000001</v>
      </c>
      <c r="F9" s="4">
        <v>0.80420000000000003</v>
      </c>
      <c r="G9" s="4">
        <v>0.70789999999999997</v>
      </c>
      <c r="H9" s="4">
        <v>0.80630000000000002</v>
      </c>
      <c r="I9" s="4">
        <v>0.78010000000000002</v>
      </c>
      <c r="J9" s="4">
        <v>0.75390000000000001</v>
      </c>
    </row>
    <row r="10" spans="1:10" x14ac:dyDescent="0.4">
      <c r="A10" s="1" t="s">
        <v>10</v>
      </c>
      <c r="B10" s="1" t="s">
        <v>12</v>
      </c>
      <c r="C10" s="1">
        <v>2025</v>
      </c>
      <c r="D10" s="4">
        <v>0.88180000000000003</v>
      </c>
      <c r="E10" s="4">
        <v>0.80679999999999996</v>
      </c>
      <c r="F10" s="4">
        <v>0.81410000000000005</v>
      </c>
      <c r="G10" s="4">
        <v>0.74509999999999998</v>
      </c>
      <c r="H10" s="4">
        <v>0.80630000000000002</v>
      </c>
      <c r="I10" s="4">
        <v>0.80389999999999995</v>
      </c>
      <c r="J10" s="4">
        <v>0.77449999999999997</v>
      </c>
    </row>
    <row r="11" spans="1:10" x14ac:dyDescent="0.4">
      <c r="A11" s="1" t="s">
        <v>10</v>
      </c>
      <c r="B11" s="1" t="s">
        <v>12</v>
      </c>
      <c r="C11" s="1">
        <v>12345</v>
      </c>
      <c r="D11" s="4">
        <v>0.89959999999999996</v>
      </c>
      <c r="E11" s="4">
        <v>0.85709999999999997</v>
      </c>
      <c r="F11" s="4">
        <v>0.86180000000000001</v>
      </c>
      <c r="G11" s="4">
        <v>0.75560000000000005</v>
      </c>
      <c r="H11" s="4">
        <v>0.84630000000000005</v>
      </c>
      <c r="I11" s="4">
        <v>0.82150000000000001</v>
      </c>
      <c r="J11" s="4">
        <v>0.7984</v>
      </c>
    </row>
    <row r="12" spans="1:10" x14ac:dyDescent="0.4">
      <c r="A12" s="1" t="s">
        <v>10</v>
      </c>
      <c r="B12" s="1" t="s">
        <v>12</v>
      </c>
      <c r="C12" s="1">
        <v>666</v>
      </c>
      <c r="D12" s="4">
        <v>0.89190000000000003</v>
      </c>
      <c r="E12" s="4">
        <v>0.84489999999999998</v>
      </c>
      <c r="F12" s="4">
        <v>0.84650000000000003</v>
      </c>
      <c r="G12" s="4">
        <v>0.79500000000000004</v>
      </c>
      <c r="H12" s="4">
        <v>0.80840000000000001</v>
      </c>
      <c r="I12" s="4">
        <v>0.83289999999999997</v>
      </c>
      <c r="J12" s="4">
        <v>0.80169999999999997</v>
      </c>
    </row>
    <row r="13" spans="1:10" x14ac:dyDescent="0.4">
      <c r="A13" s="1"/>
      <c r="B13" s="1"/>
      <c r="C13" s="1"/>
      <c r="D13" t="str">
        <f xml:space="preserve"> TEXT(AVERAGE(D8:D12),"0.0000") &amp; "±" &amp; TEXT(_xlfn.STDEV.S(D8:D12),"0.0000")</f>
        <v>0.8789±0.0181</v>
      </c>
      <c r="E13" t="str">
        <f t="shared" ref="E13:J13" si="1" xml:space="preserve"> TEXT(AVERAGE(E8:E12),"0.0000") &amp; "±" &amp; TEXT(_xlfn.STDEV.S(E8:E12),"0.0000")</f>
        <v>0.8229±0.0262</v>
      </c>
      <c r="F13" t="str">
        <f t="shared" si="1"/>
        <v>0.8270±0.0256</v>
      </c>
      <c r="G13" t="str">
        <f t="shared" si="1"/>
        <v>0.7319±0.0525</v>
      </c>
      <c r="H13" t="str">
        <f t="shared" si="1"/>
        <v>0.8269±0.0283</v>
      </c>
      <c r="I13" t="str">
        <f t="shared" si="1"/>
        <v>0.7986±0.0317</v>
      </c>
      <c r="J13" t="str">
        <f t="shared" si="1"/>
        <v>0.7751±0.0249</v>
      </c>
    </row>
    <row r="14" spans="1:10" x14ac:dyDescent="0.4">
      <c r="A14" s="1" t="s">
        <v>10</v>
      </c>
      <c r="B14" s="1" t="s">
        <v>13</v>
      </c>
      <c r="C14" s="1">
        <v>42</v>
      </c>
      <c r="D14" s="4">
        <v>0.96409999999999996</v>
      </c>
      <c r="E14" s="4">
        <v>0.97440000000000004</v>
      </c>
      <c r="F14" s="4">
        <v>0.97440000000000004</v>
      </c>
      <c r="G14" s="4">
        <v>0.9637</v>
      </c>
      <c r="H14" s="4">
        <v>0.86250000000000004</v>
      </c>
      <c r="I14" s="4">
        <v>0.90290000000000004</v>
      </c>
      <c r="J14" s="4">
        <v>0.91020000000000001</v>
      </c>
    </row>
    <row r="15" spans="1:10" x14ac:dyDescent="0.4">
      <c r="A15" s="1" t="s">
        <v>10</v>
      </c>
      <c r="B15" s="1" t="s">
        <v>13</v>
      </c>
      <c r="C15" s="1">
        <v>1234</v>
      </c>
      <c r="D15" s="4">
        <v>0.95289999999999997</v>
      </c>
      <c r="E15" s="4">
        <v>0.96760000000000002</v>
      </c>
      <c r="F15" s="4">
        <v>0.96760000000000002</v>
      </c>
      <c r="G15" s="4">
        <v>0.94989999999999997</v>
      </c>
      <c r="H15" s="4">
        <v>0.79369999999999996</v>
      </c>
      <c r="I15" s="4">
        <v>0.85840000000000005</v>
      </c>
      <c r="J15" s="4">
        <v>0.86480000000000001</v>
      </c>
    </row>
    <row r="16" spans="1:10" x14ac:dyDescent="0.4">
      <c r="A16" s="1" t="s">
        <v>10</v>
      </c>
      <c r="B16" s="1" t="s">
        <v>13</v>
      </c>
      <c r="C16" s="1">
        <v>2025</v>
      </c>
      <c r="D16" s="4">
        <v>0.96499999999999997</v>
      </c>
      <c r="E16" s="4">
        <v>0.97360000000000002</v>
      </c>
      <c r="F16" s="4">
        <v>0.97360000000000002</v>
      </c>
      <c r="G16" s="4">
        <v>0.95240000000000002</v>
      </c>
      <c r="H16" s="4">
        <v>0.87360000000000004</v>
      </c>
      <c r="I16" s="4">
        <v>0.90290000000000004</v>
      </c>
      <c r="J16" s="4">
        <v>0.9113</v>
      </c>
    </row>
    <row r="17" spans="1:10" x14ac:dyDescent="0.4">
      <c r="A17" s="1" t="s">
        <v>10</v>
      </c>
      <c r="B17" s="1" t="s">
        <v>13</v>
      </c>
      <c r="C17" s="1">
        <v>12345</v>
      </c>
      <c r="D17" s="4">
        <v>0.96540000000000004</v>
      </c>
      <c r="E17" s="4">
        <v>0.97440000000000004</v>
      </c>
      <c r="F17" s="4">
        <v>0.97440000000000004</v>
      </c>
      <c r="G17" s="4">
        <v>0.97219999999999995</v>
      </c>
      <c r="H17" s="4">
        <v>0.84570000000000001</v>
      </c>
      <c r="I17" s="4">
        <v>0.89810000000000001</v>
      </c>
      <c r="J17" s="4">
        <v>0.90459999999999996</v>
      </c>
    </row>
    <row r="18" spans="1:10" x14ac:dyDescent="0.4">
      <c r="A18" s="1" t="s">
        <v>10</v>
      </c>
      <c r="B18" s="1" t="s">
        <v>13</v>
      </c>
      <c r="C18" s="1">
        <v>666</v>
      </c>
      <c r="D18" s="4">
        <v>0.96399999999999997</v>
      </c>
      <c r="E18" s="4">
        <v>0.97419999999999995</v>
      </c>
      <c r="F18" s="4">
        <v>0.97419999999999995</v>
      </c>
      <c r="G18" s="4">
        <v>0.94920000000000004</v>
      </c>
      <c r="H18" s="4">
        <v>0.86799999999999999</v>
      </c>
      <c r="I18" s="4">
        <v>0.89810000000000001</v>
      </c>
      <c r="J18" s="4">
        <v>0.90680000000000005</v>
      </c>
    </row>
    <row r="19" spans="1:10" x14ac:dyDescent="0.4">
      <c r="A19" s="1"/>
      <c r="B19" s="1"/>
      <c r="C19" s="1"/>
      <c r="D19" t="str">
        <f xml:space="preserve"> TEXT(AVERAGE(D14:D18),"0.0000") &amp; "±" &amp; TEXT(_xlfn.STDEV.S(D14:D18),"0.0000")</f>
        <v>0.9623±0.0053</v>
      </c>
      <c r="E19" t="str">
        <f t="shared" ref="E19:J19" si="2" xml:space="preserve"> TEXT(AVERAGE(E14:E18),"0.0000") &amp; "±" &amp; TEXT(_xlfn.STDEV.S(E14:E18),"0.0000")</f>
        <v>0.9728±0.0029</v>
      </c>
      <c r="F19" t="str">
        <f t="shared" si="2"/>
        <v>0.9728±0.0029</v>
      </c>
      <c r="G19" t="str">
        <f t="shared" si="2"/>
        <v>0.9575±0.0101</v>
      </c>
      <c r="H19" t="str">
        <f t="shared" si="2"/>
        <v>0.8487±0.0325</v>
      </c>
      <c r="I19" t="str">
        <f t="shared" si="2"/>
        <v>0.8921±0.0190</v>
      </c>
      <c r="J19" t="str">
        <f t="shared" si="2"/>
        <v>0.8995±0.0196</v>
      </c>
    </row>
    <row r="20" spans="1:10" x14ac:dyDescent="0.4">
      <c r="A20" s="1" t="s">
        <v>10</v>
      </c>
      <c r="B20" s="1" t="s">
        <v>14</v>
      </c>
      <c r="C20" s="1">
        <v>42</v>
      </c>
      <c r="D20" s="4">
        <v>0.97619999999999996</v>
      </c>
      <c r="E20" s="4">
        <v>0.97919999999999996</v>
      </c>
      <c r="F20" s="4">
        <v>0.97929999999999995</v>
      </c>
      <c r="G20" s="4">
        <v>0.90069999999999995</v>
      </c>
      <c r="H20" s="4">
        <v>0.91279999999999994</v>
      </c>
      <c r="I20" s="4">
        <v>0.90410000000000001</v>
      </c>
      <c r="J20" s="4">
        <v>0.90669999999999995</v>
      </c>
    </row>
    <row r="21" spans="1:10" x14ac:dyDescent="0.4">
      <c r="A21" s="1" t="s">
        <v>10</v>
      </c>
      <c r="B21" s="1" t="s">
        <v>14</v>
      </c>
      <c r="C21" s="1">
        <v>1234</v>
      </c>
      <c r="D21" s="4">
        <v>0.98480000000000001</v>
      </c>
      <c r="E21" s="4">
        <v>0.98660000000000003</v>
      </c>
      <c r="F21" s="4">
        <v>0.98660000000000003</v>
      </c>
      <c r="G21" s="4">
        <v>0.89380000000000004</v>
      </c>
      <c r="H21" s="4">
        <v>0.9597</v>
      </c>
      <c r="I21" s="4">
        <v>0.92120000000000002</v>
      </c>
      <c r="J21" s="4">
        <v>0.92559999999999998</v>
      </c>
    </row>
    <row r="22" spans="1:10" x14ac:dyDescent="0.4">
      <c r="A22" s="1" t="s">
        <v>10</v>
      </c>
      <c r="B22" s="1" t="s">
        <v>14</v>
      </c>
      <c r="C22" s="1">
        <v>2025</v>
      </c>
      <c r="D22" s="4">
        <v>0.98299999999999998</v>
      </c>
      <c r="E22" s="4">
        <v>0.98540000000000005</v>
      </c>
      <c r="F22" s="4">
        <v>0.98550000000000004</v>
      </c>
      <c r="G22" s="4">
        <v>0.93379999999999996</v>
      </c>
      <c r="H22" s="4">
        <v>0.94630000000000003</v>
      </c>
      <c r="I22" s="4">
        <v>0.93840000000000001</v>
      </c>
      <c r="J22" s="4">
        <v>0.94</v>
      </c>
    </row>
    <row r="23" spans="1:10" x14ac:dyDescent="0.4">
      <c r="A23" s="1" t="s">
        <v>10</v>
      </c>
      <c r="B23" s="1" t="s">
        <v>14</v>
      </c>
      <c r="C23" s="1">
        <v>12345</v>
      </c>
      <c r="D23" s="4">
        <v>0.98429999999999995</v>
      </c>
      <c r="E23" s="4">
        <v>0.98709999999999998</v>
      </c>
      <c r="F23" s="4">
        <v>0.98719999999999997</v>
      </c>
      <c r="G23" s="4">
        <v>0.90910000000000002</v>
      </c>
      <c r="H23" s="4">
        <v>0.93959999999999999</v>
      </c>
      <c r="I23" s="4">
        <v>0.92120000000000002</v>
      </c>
      <c r="J23" s="4">
        <v>0.92410000000000003</v>
      </c>
    </row>
    <row r="24" spans="1:10" x14ac:dyDescent="0.4">
      <c r="A24" s="1" t="s">
        <v>10</v>
      </c>
      <c r="B24" s="1" t="s">
        <v>14</v>
      </c>
      <c r="C24" s="1">
        <v>666</v>
      </c>
      <c r="D24" s="4">
        <v>0.98750000000000004</v>
      </c>
      <c r="E24" s="4">
        <v>0.98899999999999999</v>
      </c>
      <c r="F24" s="4">
        <v>0.98899999999999999</v>
      </c>
      <c r="G24" s="4">
        <v>0.95950000000000002</v>
      </c>
      <c r="H24" s="4">
        <v>0.95299999999999996</v>
      </c>
      <c r="I24" s="4">
        <v>0.95550000000000002</v>
      </c>
      <c r="J24" s="4">
        <v>0.95620000000000005</v>
      </c>
    </row>
    <row r="25" spans="1:10" x14ac:dyDescent="0.4">
      <c r="A25" s="1"/>
      <c r="B25" s="1"/>
      <c r="C25" s="1"/>
      <c r="D25" t="str">
        <f xml:space="preserve"> TEXT(AVERAGE(D20:D24),"0.0000") &amp; "±" &amp; TEXT(_xlfn.STDEV.S(D20:D24),"0.0000")</f>
        <v>0.9832±0.0042</v>
      </c>
      <c r="E25" t="str">
        <f t="shared" ref="E25:J25" si="3" xml:space="preserve"> TEXT(AVERAGE(E20:E24),"0.0000") &amp; "±" &amp; TEXT(_xlfn.STDEV.S(E20:E24),"0.0000")</f>
        <v>0.9855±0.0037</v>
      </c>
      <c r="F25" t="str">
        <f t="shared" si="3"/>
        <v>0.9855±0.0037</v>
      </c>
      <c r="G25" t="str">
        <f t="shared" si="3"/>
        <v>0.9194±0.0270</v>
      </c>
      <c r="H25" t="str">
        <f t="shared" si="3"/>
        <v>0.9423±0.0181</v>
      </c>
      <c r="I25" t="str">
        <f t="shared" si="3"/>
        <v>0.9281±0.0195</v>
      </c>
      <c r="J25" t="str">
        <f t="shared" si="3"/>
        <v>0.9305±0.0186</v>
      </c>
    </row>
    <row r="26" spans="1:10" x14ac:dyDescent="0.4">
      <c r="A26" s="1" t="s">
        <v>10</v>
      </c>
      <c r="B26" s="1" t="s">
        <v>15</v>
      </c>
      <c r="C26" s="1">
        <v>42</v>
      </c>
      <c r="D26" s="4">
        <v>0.98939999999999995</v>
      </c>
      <c r="E26" s="4">
        <v>0.99170000000000003</v>
      </c>
      <c r="F26" s="4">
        <v>0.99180000000000001</v>
      </c>
      <c r="G26" s="4">
        <v>0.9577</v>
      </c>
      <c r="H26" s="4">
        <v>0.97840000000000005</v>
      </c>
      <c r="I26" s="4">
        <v>0.96399999999999997</v>
      </c>
      <c r="J26" s="4">
        <v>0.96799999999999997</v>
      </c>
    </row>
    <row r="27" spans="1:10" x14ac:dyDescent="0.4">
      <c r="A27" s="1" t="s">
        <v>10</v>
      </c>
      <c r="B27" s="1" t="s">
        <v>15</v>
      </c>
      <c r="C27" s="1">
        <v>1234</v>
      </c>
      <c r="D27" s="4">
        <v>0.98560000000000003</v>
      </c>
      <c r="E27" s="4">
        <v>0.98850000000000005</v>
      </c>
      <c r="F27" s="4">
        <v>0.98850000000000005</v>
      </c>
      <c r="G27" s="4">
        <v>0.93659999999999999</v>
      </c>
      <c r="H27" s="4">
        <v>0.95679999999999998</v>
      </c>
      <c r="I27" s="4">
        <v>0.94</v>
      </c>
      <c r="J27" s="4">
        <v>0.9466</v>
      </c>
    </row>
    <row r="28" spans="1:10" x14ac:dyDescent="0.4">
      <c r="A28" s="1" t="s">
        <v>10</v>
      </c>
      <c r="B28" s="1" t="s">
        <v>15</v>
      </c>
      <c r="C28" s="1">
        <v>2025</v>
      </c>
      <c r="D28" s="4">
        <v>0.99</v>
      </c>
      <c r="E28" s="4">
        <v>0.99239999999999995</v>
      </c>
      <c r="F28" s="4">
        <v>0.99239999999999995</v>
      </c>
      <c r="G28" s="4">
        <v>0.9577</v>
      </c>
      <c r="H28" s="4">
        <v>0.97840000000000005</v>
      </c>
      <c r="I28" s="4">
        <v>0.96399999999999997</v>
      </c>
      <c r="J28" s="4">
        <v>0.96799999999999997</v>
      </c>
    </row>
    <row r="29" spans="1:10" x14ac:dyDescent="0.4">
      <c r="A29" s="1" t="s">
        <v>10</v>
      </c>
      <c r="B29" s="1" t="s">
        <v>15</v>
      </c>
      <c r="C29" s="1">
        <v>12345</v>
      </c>
      <c r="D29" s="4">
        <v>0.98860000000000003</v>
      </c>
      <c r="E29" s="4">
        <v>0.9909</v>
      </c>
      <c r="F29" s="4">
        <v>0.99099999999999999</v>
      </c>
      <c r="G29" s="4">
        <v>0.94369999999999998</v>
      </c>
      <c r="H29" s="4">
        <v>0.96399999999999997</v>
      </c>
      <c r="I29" s="4">
        <v>0.94799999999999995</v>
      </c>
      <c r="J29" s="4">
        <v>0.95369999999999999</v>
      </c>
    </row>
    <row r="30" spans="1:10" x14ac:dyDescent="0.4">
      <c r="A30" s="1" t="s">
        <v>10</v>
      </c>
      <c r="B30" s="1" t="s">
        <v>15</v>
      </c>
      <c r="C30" s="1">
        <v>666</v>
      </c>
      <c r="D30" s="4">
        <v>0.98919999999999997</v>
      </c>
      <c r="E30" s="4">
        <v>0.99270000000000003</v>
      </c>
      <c r="F30" s="4">
        <v>0.99270000000000003</v>
      </c>
      <c r="G30" s="4">
        <v>0.94410000000000005</v>
      </c>
      <c r="H30" s="4">
        <v>0.97119999999999995</v>
      </c>
      <c r="I30" s="4">
        <v>0.95199999999999996</v>
      </c>
      <c r="J30" s="4">
        <v>0.95740000000000003</v>
      </c>
    </row>
    <row r="31" spans="1:10" x14ac:dyDescent="0.4">
      <c r="D31" t="str">
        <f xml:space="preserve"> TEXT(AVERAGE(D26:D30),"0.0000") &amp; "±" &amp; TEXT(_xlfn.STDEV.S(D26:D30),"0.0000")</f>
        <v>0.9886±0.0017</v>
      </c>
      <c r="E31" t="str">
        <f t="shared" ref="E31:J31" si="4" xml:space="preserve"> TEXT(AVERAGE(E26:E30),"0.0000") &amp; "±" &amp; TEXT(_xlfn.STDEV.S(E26:E30),"0.0000")</f>
        <v>0.9912±0.0017</v>
      </c>
      <c r="F31" t="str">
        <f t="shared" si="4"/>
        <v>0.9913±0.0017</v>
      </c>
      <c r="G31" t="str">
        <f t="shared" si="4"/>
        <v>0.9480±0.0094</v>
      </c>
      <c r="H31" t="str">
        <f t="shared" si="4"/>
        <v>0.9698±0.0094</v>
      </c>
      <c r="I31" t="str">
        <f t="shared" si="4"/>
        <v>0.9536±0.0104</v>
      </c>
      <c r="J31" t="str">
        <f t="shared" si="4"/>
        <v>0.9587±0.0093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E8A1-466E-4044-9083-70D3ABB3121B}">
  <dimension ref="A1:J31"/>
  <sheetViews>
    <sheetView workbookViewId="0">
      <selection activeCell="K11" sqref="K11"/>
    </sheetView>
  </sheetViews>
  <sheetFormatPr defaultRowHeight="18.75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2" t="s">
        <v>16</v>
      </c>
      <c r="B2" s="1" t="s">
        <v>11</v>
      </c>
      <c r="C2" s="1">
        <v>42</v>
      </c>
      <c r="D2" s="4">
        <v>0.97150000000000003</v>
      </c>
      <c r="E2" s="4">
        <v>0.97840000000000005</v>
      </c>
      <c r="F2" s="4">
        <v>0.97850000000000004</v>
      </c>
      <c r="G2" s="4">
        <v>0.89319999999999999</v>
      </c>
      <c r="H2" s="4">
        <v>0.93679999999999997</v>
      </c>
      <c r="I2" s="4">
        <v>0.90939999999999999</v>
      </c>
      <c r="J2" s="4">
        <v>0.91439999999999999</v>
      </c>
    </row>
    <row r="3" spans="1:10" x14ac:dyDescent="0.4">
      <c r="A3" s="2" t="s">
        <v>16</v>
      </c>
      <c r="B3" s="1" t="s">
        <v>11</v>
      </c>
      <c r="C3" s="1">
        <v>1234</v>
      </c>
      <c r="D3" s="4">
        <v>0.97050000000000003</v>
      </c>
      <c r="E3" s="4">
        <v>0.97599999999999998</v>
      </c>
      <c r="F3" s="4">
        <v>0.97609999999999997</v>
      </c>
      <c r="G3" s="4">
        <v>0.90280000000000005</v>
      </c>
      <c r="H3" s="4">
        <v>0.93389999999999995</v>
      </c>
      <c r="I3" s="4">
        <v>0.91379999999999995</v>
      </c>
      <c r="J3" s="4">
        <v>0.91810000000000003</v>
      </c>
    </row>
    <row r="4" spans="1:10" x14ac:dyDescent="0.4">
      <c r="A4" s="2" t="s">
        <v>16</v>
      </c>
      <c r="B4" s="1" t="s">
        <v>11</v>
      </c>
      <c r="C4" s="1">
        <v>2025</v>
      </c>
      <c r="D4" s="4">
        <v>0.97060000000000002</v>
      </c>
      <c r="E4" s="4">
        <v>0.97699999999999998</v>
      </c>
      <c r="F4" s="4">
        <v>0.97699999999999998</v>
      </c>
      <c r="G4" s="4">
        <v>0.94750000000000001</v>
      </c>
      <c r="H4" s="4">
        <v>0.88219999999999998</v>
      </c>
      <c r="I4" s="4">
        <v>0.91379999999999995</v>
      </c>
      <c r="J4" s="4">
        <v>0.91369999999999996</v>
      </c>
    </row>
    <row r="5" spans="1:10" x14ac:dyDescent="0.4">
      <c r="A5" s="2" t="s">
        <v>16</v>
      </c>
      <c r="B5" s="1" t="s">
        <v>11</v>
      </c>
      <c r="C5" s="1">
        <v>12345</v>
      </c>
      <c r="D5" s="4">
        <v>0.97260000000000002</v>
      </c>
      <c r="E5" s="4">
        <v>0.9788</v>
      </c>
      <c r="F5" s="4">
        <v>0.97889999999999999</v>
      </c>
      <c r="G5" s="4">
        <v>0.95989999999999998</v>
      </c>
      <c r="H5" s="4">
        <v>0.89370000000000005</v>
      </c>
      <c r="I5" s="4">
        <v>0.92569999999999997</v>
      </c>
      <c r="J5" s="4">
        <v>0.92559999999999998</v>
      </c>
    </row>
    <row r="6" spans="1:10" x14ac:dyDescent="0.4">
      <c r="A6" s="2" t="s">
        <v>16</v>
      </c>
      <c r="B6" s="1" t="s">
        <v>11</v>
      </c>
      <c r="C6" s="1">
        <v>666</v>
      </c>
      <c r="D6" s="4">
        <v>0.97170000000000001</v>
      </c>
      <c r="E6" s="4">
        <v>0.97809999999999997</v>
      </c>
      <c r="F6" s="4">
        <v>0.97809999999999997</v>
      </c>
      <c r="G6" s="4">
        <v>0.96150000000000002</v>
      </c>
      <c r="H6" s="4">
        <v>0.86209999999999998</v>
      </c>
      <c r="I6" s="4">
        <v>0.91080000000000005</v>
      </c>
      <c r="J6" s="4">
        <v>0.90910000000000002</v>
      </c>
    </row>
    <row r="7" spans="1:10" x14ac:dyDescent="0.4">
      <c r="A7" s="1"/>
      <c r="B7" s="1"/>
      <c r="C7" s="1"/>
      <c r="D7" t="str">
        <f xml:space="preserve"> TEXT(AVERAGE(D2:D6),"0.0000") &amp; "±" &amp; TEXT(_xlfn.STDEV.S(D2:D6),"0.0000")</f>
        <v>0.9714±0.0009</v>
      </c>
      <c r="E7" t="str">
        <f t="shared" ref="E7:J7" si="0" xml:space="preserve"> TEXT(AVERAGE(E2:E6),"0.0000") &amp; "±" &amp; TEXT(_xlfn.STDEV.S(E2:E6),"0.0000")</f>
        <v>0.9777±0.0011</v>
      </c>
      <c r="F7" t="str">
        <f t="shared" si="0"/>
        <v>0.9777±0.0011</v>
      </c>
      <c r="G7" t="str">
        <f t="shared" si="0"/>
        <v>0.9330±0.0326</v>
      </c>
      <c r="H7" t="str">
        <f t="shared" si="0"/>
        <v>0.9017±0.0327</v>
      </c>
      <c r="I7" t="str">
        <f t="shared" si="0"/>
        <v>0.9147±0.0064</v>
      </c>
      <c r="J7" t="str">
        <f t="shared" si="0"/>
        <v>0.9162±0.0062</v>
      </c>
    </row>
    <row r="8" spans="1:10" x14ac:dyDescent="0.4">
      <c r="A8" s="2" t="s">
        <v>16</v>
      </c>
      <c r="B8" s="1" t="s">
        <v>12</v>
      </c>
      <c r="C8" s="1">
        <v>42</v>
      </c>
      <c r="D8" s="4">
        <v>0.94310000000000005</v>
      </c>
      <c r="E8" s="4">
        <v>0.92600000000000005</v>
      </c>
      <c r="F8" s="4">
        <v>0.92620000000000002</v>
      </c>
      <c r="G8" s="4">
        <v>0.82069999999999999</v>
      </c>
      <c r="H8" s="4">
        <v>0.86180000000000001</v>
      </c>
      <c r="I8" s="4">
        <v>0.8579</v>
      </c>
      <c r="J8" s="4">
        <v>0.84079999999999999</v>
      </c>
    </row>
    <row r="9" spans="1:10" x14ac:dyDescent="0.4">
      <c r="A9" s="2" t="s">
        <v>16</v>
      </c>
      <c r="B9" s="1" t="s">
        <v>12</v>
      </c>
      <c r="C9" s="1">
        <v>1234</v>
      </c>
      <c r="D9" s="4">
        <v>0.90259999999999996</v>
      </c>
      <c r="E9" s="4">
        <v>0.87729999999999997</v>
      </c>
      <c r="F9" s="4">
        <v>0.87780000000000002</v>
      </c>
      <c r="G9" s="4">
        <v>0.76319999999999999</v>
      </c>
      <c r="H9" s="4">
        <v>0.84630000000000005</v>
      </c>
      <c r="I9" s="4">
        <v>0.81879999999999997</v>
      </c>
      <c r="J9" s="4">
        <v>0.80259999999999998</v>
      </c>
    </row>
    <row r="10" spans="1:10" x14ac:dyDescent="0.4">
      <c r="A10" s="2" t="s">
        <v>16</v>
      </c>
      <c r="B10" s="1" t="s">
        <v>12</v>
      </c>
      <c r="C10" s="1">
        <v>2025</v>
      </c>
      <c r="D10" s="4">
        <v>0.93169999999999997</v>
      </c>
      <c r="E10" s="4">
        <v>0.9133</v>
      </c>
      <c r="F10" s="4">
        <v>0.91369999999999996</v>
      </c>
      <c r="G10" s="4">
        <v>0.8</v>
      </c>
      <c r="H10" s="4">
        <v>0.84970000000000001</v>
      </c>
      <c r="I10" s="4">
        <v>0.84209999999999996</v>
      </c>
      <c r="J10" s="4">
        <v>0.82410000000000005</v>
      </c>
    </row>
    <row r="11" spans="1:10" x14ac:dyDescent="0.4">
      <c r="A11" s="2" t="s">
        <v>16</v>
      </c>
      <c r="B11" s="1" t="s">
        <v>12</v>
      </c>
      <c r="C11" s="1">
        <v>12345</v>
      </c>
      <c r="D11" s="4">
        <v>0.95209999999999995</v>
      </c>
      <c r="E11" s="4">
        <v>0.93010000000000004</v>
      </c>
      <c r="F11" s="4">
        <v>0.93059999999999998</v>
      </c>
      <c r="G11" s="4">
        <v>0.87929999999999997</v>
      </c>
      <c r="H11" s="4">
        <v>0.83069999999999999</v>
      </c>
      <c r="I11" s="4">
        <v>0.87670000000000003</v>
      </c>
      <c r="J11" s="4">
        <v>0.85429999999999995</v>
      </c>
    </row>
    <row r="12" spans="1:10" x14ac:dyDescent="0.4">
      <c r="A12" s="2" t="s">
        <v>16</v>
      </c>
      <c r="B12" s="1" t="s">
        <v>12</v>
      </c>
      <c r="C12" s="1">
        <v>666</v>
      </c>
      <c r="D12" s="4">
        <v>0.93859999999999999</v>
      </c>
      <c r="E12" s="4">
        <v>0.92249999999999999</v>
      </c>
      <c r="F12" s="4">
        <v>0.92259999999999998</v>
      </c>
      <c r="G12" s="4">
        <v>0.86199999999999999</v>
      </c>
      <c r="H12" s="4">
        <v>0.78759999999999997</v>
      </c>
      <c r="I12" s="4">
        <v>0.85260000000000002</v>
      </c>
      <c r="J12" s="4">
        <v>0.82310000000000005</v>
      </c>
    </row>
    <row r="13" spans="1:10" x14ac:dyDescent="0.4">
      <c r="A13" s="1"/>
      <c r="B13" s="1"/>
      <c r="C13" s="1"/>
      <c r="D13" t="str">
        <f t="shared" ref="D13:J13" si="1" xml:space="preserve"> TEXT(AVERAGE(D8:D12),"0.0000") &amp; "±" &amp; TEXT(_xlfn.STDEV.S(D8:D12),"0.0000")</f>
        <v>0.9336±0.0189</v>
      </c>
      <c r="E13" t="str">
        <f t="shared" si="1"/>
        <v>0.9138±0.0213</v>
      </c>
      <c r="F13" t="str">
        <f t="shared" si="1"/>
        <v>0.9142±0.0213</v>
      </c>
      <c r="G13" t="str">
        <f t="shared" si="1"/>
        <v>0.8250±0.0469</v>
      </c>
      <c r="H13" t="str">
        <f t="shared" si="1"/>
        <v>0.8352±0.0288</v>
      </c>
      <c r="I13" t="str">
        <f t="shared" si="1"/>
        <v>0.8496±0.0213</v>
      </c>
      <c r="J13" t="str">
        <f t="shared" si="1"/>
        <v>0.8290±0.0196</v>
      </c>
    </row>
    <row r="14" spans="1:10" x14ac:dyDescent="0.4">
      <c r="A14" s="2" t="s">
        <v>16</v>
      </c>
      <c r="B14" s="1" t="s">
        <v>13</v>
      </c>
      <c r="C14" s="1">
        <v>42</v>
      </c>
      <c r="D14" s="4">
        <v>0.95820000000000005</v>
      </c>
      <c r="E14" s="4">
        <v>0.94299999999999995</v>
      </c>
      <c r="F14" s="4">
        <v>0.94310000000000005</v>
      </c>
      <c r="G14" s="4">
        <v>0.8498</v>
      </c>
      <c r="H14" s="4">
        <v>0.85709999999999997</v>
      </c>
      <c r="I14" s="4">
        <v>0.88200000000000001</v>
      </c>
      <c r="J14" s="4">
        <v>0.85340000000000005</v>
      </c>
    </row>
    <row r="15" spans="1:10" x14ac:dyDescent="0.4">
      <c r="A15" s="2" t="s">
        <v>16</v>
      </c>
      <c r="B15" s="1" t="s">
        <v>13</v>
      </c>
      <c r="C15" s="1">
        <v>1234</v>
      </c>
      <c r="D15" s="4">
        <v>0.96289999999999998</v>
      </c>
      <c r="E15" s="4">
        <v>0.94789999999999996</v>
      </c>
      <c r="F15" s="4">
        <v>0.94799999999999995</v>
      </c>
      <c r="G15" s="4">
        <v>0.86750000000000005</v>
      </c>
      <c r="H15" s="4">
        <v>0.87880000000000003</v>
      </c>
      <c r="I15" s="4">
        <v>0.89770000000000005</v>
      </c>
      <c r="J15" s="4">
        <v>0.87309999999999999</v>
      </c>
    </row>
    <row r="16" spans="1:10" x14ac:dyDescent="0.4">
      <c r="A16" s="2" t="s">
        <v>16</v>
      </c>
      <c r="B16" s="1" t="s">
        <v>13</v>
      </c>
      <c r="C16" s="1">
        <v>2025</v>
      </c>
      <c r="D16" s="4">
        <v>0.96099999999999997</v>
      </c>
      <c r="E16" s="4">
        <v>0.94630000000000003</v>
      </c>
      <c r="F16" s="4">
        <v>0.94630000000000003</v>
      </c>
      <c r="G16" s="4">
        <v>0.86180000000000001</v>
      </c>
      <c r="H16" s="4">
        <v>0.86360000000000003</v>
      </c>
      <c r="I16" s="4">
        <v>0.88990000000000002</v>
      </c>
      <c r="J16" s="4">
        <v>0.86270000000000002</v>
      </c>
    </row>
    <row r="17" spans="1:10" x14ac:dyDescent="0.4">
      <c r="A17" s="2" t="s">
        <v>16</v>
      </c>
      <c r="B17" s="1" t="s">
        <v>13</v>
      </c>
      <c r="C17" s="1">
        <v>12345</v>
      </c>
      <c r="D17" s="4">
        <v>0.95420000000000005</v>
      </c>
      <c r="E17" s="4">
        <v>0.93679999999999997</v>
      </c>
      <c r="F17" s="4">
        <v>0.93689999999999996</v>
      </c>
      <c r="G17" s="4">
        <v>0.89080000000000004</v>
      </c>
      <c r="H17" s="4">
        <v>0.77710000000000001</v>
      </c>
      <c r="I17" s="4">
        <v>0.87250000000000005</v>
      </c>
      <c r="J17" s="4">
        <v>0.83009999999999995</v>
      </c>
    </row>
    <row r="18" spans="1:10" x14ac:dyDescent="0.4">
      <c r="A18" s="2" t="s">
        <v>16</v>
      </c>
      <c r="B18" s="1" t="s">
        <v>13</v>
      </c>
      <c r="C18" s="1">
        <v>666</v>
      </c>
      <c r="D18" s="4">
        <v>0.96009999999999995</v>
      </c>
      <c r="E18" s="4">
        <v>0.94410000000000005</v>
      </c>
      <c r="F18" s="4">
        <v>0.94410000000000005</v>
      </c>
      <c r="G18" s="4">
        <v>0.88380000000000003</v>
      </c>
      <c r="H18" s="4">
        <v>0.83979999999999999</v>
      </c>
      <c r="I18" s="4">
        <v>0.89159999999999995</v>
      </c>
      <c r="J18" s="4">
        <v>0.86129999999999995</v>
      </c>
    </row>
    <row r="19" spans="1:10" x14ac:dyDescent="0.4">
      <c r="A19" s="1"/>
      <c r="B19" s="1"/>
      <c r="C19" s="1"/>
      <c r="D19" t="str">
        <f xml:space="preserve"> TEXT(AVERAGE(D14:D18),"0.0000") &amp; "±" &amp; TEXT(_xlfn.STDEV.S(D14:D18),"0.0000")</f>
        <v>0.9593±0.0033</v>
      </c>
      <c r="E19" t="str">
        <f t="shared" ref="E19:J19" si="2" xml:space="preserve"> TEXT(AVERAGE(E14:E18),"0.0000") &amp; "±" &amp; TEXT(_xlfn.STDEV.S(E14:E18),"0.0000")</f>
        <v>0.9436±0.0043</v>
      </c>
      <c r="F19" t="str">
        <f t="shared" si="2"/>
        <v>0.9437±0.0042</v>
      </c>
      <c r="G19" t="str">
        <f t="shared" si="2"/>
        <v>0.8707±0.0166</v>
      </c>
      <c r="H19" t="str">
        <f t="shared" si="2"/>
        <v>0.8433±0.0396</v>
      </c>
      <c r="I19" t="str">
        <f t="shared" si="2"/>
        <v>0.8867±0.0097</v>
      </c>
      <c r="J19" t="str">
        <f t="shared" si="2"/>
        <v>0.8561±0.0161</v>
      </c>
    </row>
    <row r="20" spans="1:10" x14ac:dyDescent="0.4">
      <c r="A20" s="2" t="s">
        <v>16</v>
      </c>
      <c r="B20" s="1" t="s">
        <v>14</v>
      </c>
      <c r="C20" s="1">
        <v>42</v>
      </c>
      <c r="D20" s="4">
        <v>0.96130000000000004</v>
      </c>
      <c r="E20" s="4">
        <v>0.90110000000000001</v>
      </c>
      <c r="F20" s="4">
        <v>0.90200000000000002</v>
      </c>
      <c r="G20" s="4">
        <v>0.74239999999999995</v>
      </c>
      <c r="H20" s="4">
        <v>0.875</v>
      </c>
      <c r="I20" s="4">
        <v>0.88990000000000002</v>
      </c>
      <c r="J20" s="4">
        <v>0.80330000000000001</v>
      </c>
    </row>
    <row r="21" spans="1:10" x14ac:dyDescent="0.4">
      <c r="A21" s="2" t="s">
        <v>16</v>
      </c>
      <c r="B21" s="1" t="s">
        <v>14</v>
      </c>
      <c r="C21" s="1">
        <v>1234</v>
      </c>
      <c r="D21" s="4">
        <v>0.96960000000000002</v>
      </c>
      <c r="E21" s="4">
        <v>0.91210000000000002</v>
      </c>
      <c r="F21" s="4">
        <v>0.91300000000000003</v>
      </c>
      <c r="G21" s="4">
        <v>0.77610000000000001</v>
      </c>
      <c r="H21" s="4">
        <v>0.92859999999999998</v>
      </c>
      <c r="I21" s="4">
        <v>0.91279999999999994</v>
      </c>
      <c r="J21" s="4">
        <v>0.84550000000000003</v>
      </c>
    </row>
    <row r="22" spans="1:10" x14ac:dyDescent="0.4">
      <c r="A22" s="2" t="s">
        <v>16</v>
      </c>
      <c r="B22" s="1" t="s">
        <v>14</v>
      </c>
      <c r="C22" s="1">
        <v>2025</v>
      </c>
      <c r="D22" s="4">
        <v>0.96319999999999995</v>
      </c>
      <c r="E22" s="4">
        <v>0.90239999999999998</v>
      </c>
      <c r="F22" s="4">
        <v>0.90369999999999995</v>
      </c>
      <c r="G22" s="4">
        <v>0.78459999999999996</v>
      </c>
      <c r="H22" s="4">
        <v>0.91069999999999995</v>
      </c>
      <c r="I22" s="4">
        <v>0.91279999999999994</v>
      </c>
      <c r="J22" s="4">
        <v>0.84299999999999997</v>
      </c>
    </row>
    <row r="23" spans="1:10" x14ac:dyDescent="0.4">
      <c r="A23" s="2" t="s">
        <v>16</v>
      </c>
      <c r="B23" s="1" t="s">
        <v>14</v>
      </c>
      <c r="C23" s="1">
        <v>12345</v>
      </c>
      <c r="D23" s="4">
        <v>0.97440000000000004</v>
      </c>
      <c r="E23" s="4">
        <v>0.89780000000000004</v>
      </c>
      <c r="F23" s="4">
        <v>0.90049999999999997</v>
      </c>
      <c r="G23" s="4">
        <v>0.91669999999999996</v>
      </c>
      <c r="H23" s="4">
        <v>0.78569999999999995</v>
      </c>
      <c r="I23" s="4">
        <v>0.92659999999999998</v>
      </c>
      <c r="J23" s="4">
        <v>0.84609999999999996</v>
      </c>
    </row>
    <row r="24" spans="1:10" x14ac:dyDescent="0.4">
      <c r="A24" s="2" t="s">
        <v>16</v>
      </c>
      <c r="B24" s="1" t="s">
        <v>14</v>
      </c>
      <c r="C24" s="1">
        <v>666</v>
      </c>
      <c r="D24" s="4">
        <v>0.96650000000000003</v>
      </c>
      <c r="E24" s="4">
        <v>0.88660000000000005</v>
      </c>
      <c r="F24" s="4">
        <v>0.88849999999999996</v>
      </c>
      <c r="G24" s="4">
        <v>0.86670000000000003</v>
      </c>
      <c r="H24" s="4">
        <v>0.69640000000000002</v>
      </c>
      <c r="I24" s="4">
        <v>0.89449999999999996</v>
      </c>
      <c r="J24" s="4">
        <v>0.77229999999999999</v>
      </c>
    </row>
    <row r="25" spans="1:10" x14ac:dyDescent="0.4">
      <c r="A25" s="1"/>
      <c r="B25" s="1"/>
      <c r="C25" s="1"/>
      <c r="D25" t="str">
        <f xml:space="preserve"> TEXT(AVERAGE(D20:D24),"0.0000") &amp; "±" &amp; TEXT(_xlfn.STDEV.S(D20:D24),"0.0000")</f>
        <v>0.9670±0.0052</v>
      </c>
      <c r="E25" t="str">
        <f t="shared" ref="E25:J25" si="3" xml:space="preserve"> TEXT(AVERAGE(E20:E24),"0.0000") &amp; "±" &amp; TEXT(_xlfn.STDEV.S(E20:E24),"0.0000")</f>
        <v>0.9000±0.0092</v>
      </c>
      <c r="F25" t="str">
        <f t="shared" si="3"/>
        <v>0.9015±0.0088</v>
      </c>
      <c r="G25" t="str">
        <f t="shared" si="3"/>
        <v>0.8173±0.0719</v>
      </c>
      <c r="H25" t="str">
        <f t="shared" si="3"/>
        <v>0.8393±0.0970</v>
      </c>
      <c r="I25" t="str">
        <f t="shared" si="3"/>
        <v>0.9073±0.0150</v>
      </c>
      <c r="J25" t="str">
        <f t="shared" si="3"/>
        <v>0.8220±0.0331</v>
      </c>
    </row>
    <row r="26" spans="1:10" x14ac:dyDescent="0.4">
      <c r="A26" s="2" t="s">
        <v>16</v>
      </c>
      <c r="B26" s="1" t="s">
        <v>15</v>
      </c>
      <c r="C26" s="1">
        <v>42</v>
      </c>
      <c r="D26" s="4">
        <v>0.97789999999999999</v>
      </c>
      <c r="E26" s="4">
        <v>0.98529999999999995</v>
      </c>
      <c r="F26" s="4">
        <v>0.98529999999999995</v>
      </c>
      <c r="G26" s="4">
        <v>0.94389999999999996</v>
      </c>
      <c r="H26" s="4">
        <v>0.9536</v>
      </c>
      <c r="I26" s="4">
        <v>0.93689999999999996</v>
      </c>
      <c r="J26" s="4">
        <v>0.94869999999999999</v>
      </c>
    </row>
    <row r="27" spans="1:10" x14ac:dyDescent="0.4">
      <c r="A27" s="2" t="s">
        <v>16</v>
      </c>
      <c r="B27" s="1" t="s">
        <v>15</v>
      </c>
      <c r="C27" s="1">
        <v>1234</v>
      </c>
      <c r="D27" s="4">
        <v>0.97509999999999997</v>
      </c>
      <c r="E27" s="4">
        <v>0.98350000000000004</v>
      </c>
      <c r="F27" s="4">
        <v>0.98360000000000003</v>
      </c>
      <c r="G27" s="4">
        <v>0.92630000000000001</v>
      </c>
      <c r="H27" s="4">
        <v>0.90720000000000001</v>
      </c>
      <c r="I27" s="4">
        <v>0.89910000000000001</v>
      </c>
      <c r="J27" s="4">
        <v>0.91669999999999996</v>
      </c>
    </row>
    <row r="28" spans="1:10" x14ac:dyDescent="0.4">
      <c r="A28" s="2" t="s">
        <v>16</v>
      </c>
      <c r="B28" s="1" t="s">
        <v>15</v>
      </c>
      <c r="C28" s="1">
        <v>2025</v>
      </c>
      <c r="D28" s="4">
        <v>0.96850000000000003</v>
      </c>
      <c r="E28" s="4">
        <v>0.97819999999999996</v>
      </c>
      <c r="F28" s="4">
        <v>0.97819999999999996</v>
      </c>
      <c r="G28" s="4">
        <v>0.94920000000000004</v>
      </c>
      <c r="H28" s="4">
        <v>0.86599999999999999</v>
      </c>
      <c r="I28" s="4">
        <v>0.88959999999999995</v>
      </c>
      <c r="J28" s="4">
        <v>0.90569999999999995</v>
      </c>
    </row>
    <row r="29" spans="1:10" x14ac:dyDescent="0.4">
      <c r="A29" s="2" t="s">
        <v>16</v>
      </c>
      <c r="B29" s="1" t="s">
        <v>15</v>
      </c>
      <c r="C29" s="1">
        <v>12345</v>
      </c>
      <c r="D29" s="4">
        <v>0.9788</v>
      </c>
      <c r="E29" s="4">
        <v>0.98640000000000005</v>
      </c>
      <c r="F29" s="4">
        <v>0.98650000000000004</v>
      </c>
      <c r="G29" s="4">
        <v>0.9204</v>
      </c>
      <c r="H29" s="4">
        <v>0.9536</v>
      </c>
      <c r="I29" s="4">
        <v>0.92110000000000003</v>
      </c>
      <c r="J29" s="4">
        <v>0.93669999999999998</v>
      </c>
    </row>
    <row r="30" spans="1:10" x14ac:dyDescent="0.4">
      <c r="A30" s="2" t="s">
        <v>16</v>
      </c>
      <c r="B30" s="1" t="s">
        <v>15</v>
      </c>
      <c r="C30" s="1">
        <v>666</v>
      </c>
      <c r="D30" s="4">
        <v>0.97130000000000005</v>
      </c>
      <c r="E30" s="4">
        <v>0.98</v>
      </c>
      <c r="F30" s="4">
        <v>0.98</v>
      </c>
      <c r="G30" s="4">
        <v>0.91369999999999996</v>
      </c>
      <c r="H30" s="4">
        <v>0.92779999999999996</v>
      </c>
      <c r="I30" s="4">
        <v>0.9022</v>
      </c>
      <c r="J30" s="4">
        <v>0.92069999999999996</v>
      </c>
    </row>
    <row r="31" spans="1:10" x14ac:dyDescent="0.4">
      <c r="D31" t="str">
        <f xml:space="preserve"> TEXT(AVERAGE(D26:D30),"0.0000") &amp; "±" &amp; TEXT(_xlfn.STDEV.S(D26:D30),"0.0000")</f>
        <v>0.9743±0.0044</v>
      </c>
      <c r="E31" t="str">
        <f t="shared" ref="E31:J31" si="4" xml:space="preserve"> TEXT(AVERAGE(E26:E30),"0.0000") &amp; "±" &amp; TEXT(_xlfn.STDEV.S(E26:E30),"0.0000")</f>
        <v>0.9827±0.0035</v>
      </c>
      <c r="F31" t="str">
        <f t="shared" si="4"/>
        <v>0.9827±0.0035</v>
      </c>
      <c r="G31" t="str">
        <f t="shared" si="4"/>
        <v>0.9307±0.0153</v>
      </c>
      <c r="H31" t="str">
        <f t="shared" si="4"/>
        <v>0.9216±0.0367</v>
      </c>
      <c r="I31" t="str">
        <f t="shared" si="4"/>
        <v>0.9098±0.0190</v>
      </c>
      <c r="J31" t="str">
        <f t="shared" si="4"/>
        <v>0.9257±0.0170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AEE6-AEDC-49AA-B1CC-464D1D19E892}">
  <dimension ref="A1:L31"/>
  <sheetViews>
    <sheetView workbookViewId="0">
      <selection activeCell="L8" sqref="L8"/>
    </sheetView>
  </sheetViews>
  <sheetFormatPr defaultRowHeight="18.75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4">
      <c r="A2" s="3" t="s">
        <v>17</v>
      </c>
      <c r="B2" s="1" t="s">
        <v>11</v>
      </c>
      <c r="C2" s="1">
        <v>42</v>
      </c>
      <c r="D2" s="4">
        <v>0.85260000000000002</v>
      </c>
      <c r="E2" s="4">
        <v>0.83950000000000002</v>
      </c>
      <c r="F2" s="4">
        <v>0.84</v>
      </c>
      <c r="G2" s="4">
        <v>0.7389</v>
      </c>
      <c r="H2" s="4">
        <v>0.78949999999999998</v>
      </c>
      <c r="I2" s="4">
        <v>0.76749999999999996</v>
      </c>
      <c r="J2" s="4">
        <v>0.76339999999999997</v>
      </c>
      <c r="L2" s="4"/>
    </row>
    <row r="3" spans="1:12" x14ac:dyDescent="0.4">
      <c r="A3" s="3" t="s">
        <v>17</v>
      </c>
      <c r="B3" s="1" t="s">
        <v>11</v>
      </c>
      <c r="C3" s="1">
        <v>1234</v>
      </c>
      <c r="D3" s="4">
        <v>0.87419999999999998</v>
      </c>
      <c r="E3" s="4">
        <v>0.86839999999999995</v>
      </c>
      <c r="F3" s="4">
        <v>0.86870000000000003</v>
      </c>
      <c r="G3" s="4">
        <v>0.76719999999999999</v>
      </c>
      <c r="H3" s="4">
        <v>0.82369999999999999</v>
      </c>
      <c r="I3" s="4">
        <v>0.79749999999999999</v>
      </c>
      <c r="J3" s="4">
        <v>0.7944</v>
      </c>
      <c r="L3" s="4"/>
    </row>
    <row r="4" spans="1:12" x14ac:dyDescent="0.4">
      <c r="A4" s="3" t="s">
        <v>17</v>
      </c>
      <c r="B4" s="1" t="s">
        <v>11</v>
      </c>
      <c r="C4" s="1">
        <v>2025</v>
      </c>
      <c r="D4" s="4">
        <v>0.8679</v>
      </c>
      <c r="E4" s="4">
        <v>0.84470000000000001</v>
      </c>
      <c r="F4" s="4">
        <v>0.84519999999999995</v>
      </c>
      <c r="G4" s="4">
        <v>0.74880000000000002</v>
      </c>
      <c r="H4" s="4">
        <v>0.84740000000000004</v>
      </c>
      <c r="I4" s="4">
        <v>0.79249999999999998</v>
      </c>
      <c r="J4" s="4">
        <v>0.79510000000000003</v>
      </c>
      <c r="L4" s="4"/>
    </row>
    <row r="5" spans="1:12" x14ac:dyDescent="0.4">
      <c r="A5" s="3" t="s">
        <v>17</v>
      </c>
      <c r="B5" s="1" t="s">
        <v>11</v>
      </c>
      <c r="C5" s="1">
        <v>12345</v>
      </c>
      <c r="D5" s="4">
        <v>0.85840000000000005</v>
      </c>
      <c r="E5" s="4">
        <v>0.83779999999999999</v>
      </c>
      <c r="F5" s="4">
        <v>0.83809999999999996</v>
      </c>
      <c r="G5" s="4">
        <v>0.72929999999999995</v>
      </c>
      <c r="H5" s="4">
        <v>0.8579</v>
      </c>
      <c r="I5" s="4">
        <v>0.78120000000000001</v>
      </c>
      <c r="J5" s="4">
        <v>0.78839999999999999</v>
      </c>
      <c r="L5" s="4"/>
    </row>
    <row r="6" spans="1:12" x14ac:dyDescent="0.4">
      <c r="A6" s="3" t="s">
        <v>17</v>
      </c>
      <c r="B6" s="1" t="s">
        <v>11</v>
      </c>
      <c r="C6" s="1">
        <v>666</v>
      </c>
      <c r="D6" s="4">
        <v>0.86609999999999998</v>
      </c>
      <c r="E6" s="4">
        <v>0.85019999999999996</v>
      </c>
      <c r="F6" s="4">
        <v>0.85060000000000002</v>
      </c>
      <c r="G6" s="4">
        <v>0.77639999999999998</v>
      </c>
      <c r="H6" s="4">
        <v>0.81320000000000003</v>
      </c>
      <c r="I6" s="4">
        <v>0.8</v>
      </c>
      <c r="J6" s="4">
        <v>0.79430000000000001</v>
      </c>
      <c r="L6" s="4"/>
    </row>
    <row r="7" spans="1:12" x14ac:dyDescent="0.4">
      <c r="A7" s="1"/>
      <c r="B7" s="1"/>
      <c r="C7" s="1"/>
      <c r="D7" t="str">
        <f xml:space="preserve"> TEXT(AVERAGE(D2:D6),"0.0000") &amp; "±" &amp; TEXT(_xlfn.STDEV.S(D2:D6),"0.0000")</f>
        <v>0.8638±0.0084</v>
      </c>
      <c r="E7" t="str">
        <f t="shared" ref="E7:J7" si="0" xml:space="preserve"> TEXT(AVERAGE(E2:E6),"0.0000") &amp; "±" &amp; TEXT(_xlfn.STDEV.S(E2:E6),"0.0000")</f>
        <v>0.8481±0.0123</v>
      </c>
      <c r="F7" t="str">
        <f t="shared" si="0"/>
        <v>0.8485±0.0123</v>
      </c>
      <c r="G7" t="str">
        <f t="shared" si="0"/>
        <v>0.7521±0.0195</v>
      </c>
      <c r="H7" t="str">
        <f t="shared" si="0"/>
        <v>0.8263±0.0273</v>
      </c>
      <c r="I7" t="str">
        <f t="shared" si="0"/>
        <v>0.7877±0.0134</v>
      </c>
      <c r="J7" t="str">
        <f t="shared" si="0"/>
        <v>0.7871±0.0135</v>
      </c>
    </row>
    <row r="8" spans="1:12" x14ac:dyDescent="0.4">
      <c r="A8" s="3" t="s">
        <v>17</v>
      </c>
      <c r="B8" s="1" t="s">
        <v>12</v>
      </c>
      <c r="C8" s="1">
        <v>42</v>
      </c>
      <c r="D8" s="4">
        <v>0.84519999999999995</v>
      </c>
      <c r="E8" s="4">
        <v>0.86150000000000004</v>
      </c>
      <c r="F8" s="4">
        <v>0.86160000000000003</v>
      </c>
      <c r="G8" s="4">
        <v>0.74690000000000001</v>
      </c>
      <c r="H8" s="4">
        <v>0.79139999999999999</v>
      </c>
      <c r="I8" s="4">
        <v>0.76349999999999996</v>
      </c>
      <c r="J8" s="4">
        <v>0.76849999999999996</v>
      </c>
      <c r="L8" s="4"/>
    </row>
    <row r="9" spans="1:12" x14ac:dyDescent="0.4">
      <c r="A9" s="3" t="s">
        <v>17</v>
      </c>
      <c r="B9" s="1" t="s">
        <v>12</v>
      </c>
      <c r="C9" s="1">
        <v>1234</v>
      </c>
      <c r="D9" s="4">
        <v>0.85209999999999997</v>
      </c>
      <c r="E9" s="4">
        <v>0.8609</v>
      </c>
      <c r="F9" s="4">
        <v>0.86099999999999999</v>
      </c>
      <c r="G9" s="4">
        <v>0.79059999999999997</v>
      </c>
      <c r="H9" s="4">
        <v>0.76039999999999996</v>
      </c>
      <c r="I9" s="4">
        <v>0.78120000000000001</v>
      </c>
      <c r="J9" s="4">
        <v>0.7752</v>
      </c>
      <c r="L9" s="4"/>
    </row>
    <row r="10" spans="1:12" x14ac:dyDescent="0.4">
      <c r="A10" s="3" t="s">
        <v>17</v>
      </c>
      <c r="B10" s="1" t="s">
        <v>12</v>
      </c>
      <c r="C10" s="1">
        <v>2025</v>
      </c>
      <c r="D10" s="4">
        <v>0.8407</v>
      </c>
      <c r="E10" s="4">
        <v>0.85050000000000003</v>
      </c>
      <c r="F10" s="4">
        <v>0.85060000000000002</v>
      </c>
      <c r="G10" s="4">
        <v>0.79269999999999996</v>
      </c>
      <c r="H10" s="4">
        <v>0.72940000000000005</v>
      </c>
      <c r="I10" s="4">
        <v>0.77110000000000001</v>
      </c>
      <c r="J10" s="4">
        <v>0.75980000000000003</v>
      </c>
      <c r="L10" s="4"/>
    </row>
    <row r="11" spans="1:12" x14ac:dyDescent="0.4">
      <c r="A11" s="3" t="s">
        <v>17</v>
      </c>
      <c r="B11" s="1" t="s">
        <v>12</v>
      </c>
      <c r="C11" s="1">
        <v>12345</v>
      </c>
      <c r="D11" s="4">
        <v>0.83530000000000004</v>
      </c>
      <c r="E11" s="4">
        <v>0.83350000000000002</v>
      </c>
      <c r="F11" s="4">
        <v>0.8337</v>
      </c>
      <c r="G11" s="4">
        <v>0.71640000000000004</v>
      </c>
      <c r="H11" s="4">
        <v>0.81879999999999997</v>
      </c>
      <c r="I11" s="4">
        <v>0.74929999999999997</v>
      </c>
      <c r="J11" s="4">
        <v>0.76419999999999999</v>
      </c>
      <c r="L11" s="4"/>
    </row>
    <row r="12" spans="1:12" x14ac:dyDescent="0.4">
      <c r="A12" s="3" t="s">
        <v>17</v>
      </c>
      <c r="B12" s="1" t="s">
        <v>12</v>
      </c>
      <c r="C12" s="1">
        <v>666</v>
      </c>
      <c r="D12" s="4">
        <v>0.84409999999999996</v>
      </c>
      <c r="E12" s="4">
        <v>0.85309999999999997</v>
      </c>
      <c r="F12" s="4">
        <v>0.85329999999999995</v>
      </c>
      <c r="G12" s="4">
        <v>0.76880000000000004</v>
      </c>
      <c r="H12" s="4">
        <v>0.76880000000000004</v>
      </c>
      <c r="I12" s="4">
        <v>0.77049999999999996</v>
      </c>
      <c r="J12" s="4">
        <v>0.76880000000000004</v>
      </c>
      <c r="L12" s="4"/>
    </row>
    <row r="13" spans="1:12" x14ac:dyDescent="0.4">
      <c r="A13" s="1"/>
      <c r="B13" s="1"/>
      <c r="C13" s="1"/>
      <c r="D13" t="str">
        <f t="shared" ref="D13:J13" si="1" xml:space="preserve"> TEXT(AVERAGE(D8:D12),"0.0000") &amp; "±" &amp; TEXT(_xlfn.STDEV.S(D8:D12),"0.0000")</f>
        <v>0.8435±0.0062</v>
      </c>
      <c r="E13" t="str">
        <f t="shared" si="1"/>
        <v>0.8519±0.0113</v>
      </c>
      <c r="F13" t="str">
        <f t="shared" si="1"/>
        <v>0.8520±0.0113</v>
      </c>
      <c r="G13" t="str">
        <f t="shared" si="1"/>
        <v>0.7631±0.0320</v>
      </c>
      <c r="H13" t="str">
        <f t="shared" si="1"/>
        <v>0.7738±0.0336</v>
      </c>
      <c r="I13" t="str">
        <f t="shared" si="1"/>
        <v>0.7671±0.0118</v>
      </c>
      <c r="J13" t="str">
        <f t="shared" si="1"/>
        <v>0.7673±0.0057</v>
      </c>
    </row>
    <row r="14" spans="1:12" x14ac:dyDescent="0.4">
      <c r="A14" s="3" t="s">
        <v>17</v>
      </c>
      <c r="B14" s="1" t="s">
        <v>13</v>
      </c>
      <c r="C14" s="1">
        <v>42</v>
      </c>
      <c r="D14" s="4">
        <v>0.73219999999999996</v>
      </c>
      <c r="E14" s="4">
        <v>0.79279999999999995</v>
      </c>
      <c r="F14" s="4">
        <v>0.79300000000000004</v>
      </c>
      <c r="G14" s="4">
        <v>0.76670000000000005</v>
      </c>
      <c r="H14" s="4">
        <v>0.62290000000000001</v>
      </c>
      <c r="I14" s="4">
        <v>0.6714</v>
      </c>
      <c r="J14" s="4">
        <v>0.68740000000000001</v>
      </c>
      <c r="L14" s="4"/>
    </row>
    <row r="15" spans="1:12" x14ac:dyDescent="0.4">
      <c r="A15" s="3" t="s">
        <v>17</v>
      </c>
      <c r="B15" s="1" t="s">
        <v>13</v>
      </c>
      <c r="C15" s="1">
        <v>1234</v>
      </c>
      <c r="D15" s="4">
        <v>0.72099999999999997</v>
      </c>
      <c r="E15" s="4">
        <v>0.77459999999999996</v>
      </c>
      <c r="F15" s="4">
        <v>0.77480000000000004</v>
      </c>
      <c r="G15" s="4">
        <v>0.75580000000000003</v>
      </c>
      <c r="H15" s="4">
        <v>0.58050000000000002</v>
      </c>
      <c r="I15" s="4">
        <v>0.64800000000000002</v>
      </c>
      <c r="J15" s="4">
        <v>0.65659999999999996</v>
      </c>
      <c r="L15" s="4"/>
    </row>
    <row r="16" spans="1:12" x14ac:dyDescent="0.4">
      <c r="A16" s="3" t="s">
        <v>17</v>
      </c>
      <c r="B16" s="1" t="s">
        <v>13</v>
      </c>
      <c r="C16" s="1">
        <v>2025</v>
      </c>
      <c r="D16" s="4">
        <v>0.69599999999999995</v>
      </c>
      <c r="E16" s="4">
        <v>0.78</v>
      </c>
      <c r="F16" s="4">
        <v>0.7802</v>
      </c>
      <c r="G16" s="4">
        <v>0.71960000000000002</v>
      </c>
      <c r="H16" s="4">
        <v>0.63570000000000004</v>
      </c>
      <c r="I16" s="4">
        <v>0.64510000000000001</v>
      </c>
      <c r="J16" s="4">
        <v>0.67500000000000004</v>
      </c>
      <c r="L16" s="4"/>
    </row>
    <row r="17" spans="1:12" x14ac:dyDescent="0.4">
      <c r="A17" s="3" t="s">
        <v>17</v>
      </c>
      <c r="B17" s="1" t="s">
        <v>13</v>
      </c>
      <c r="C17" s="1">
        <v>12345</v>
      </c>
      <c r="D17" s="4">
        <v>0.72040000000000004</v>
      </c>
      <c r="E17" s="4">
        <v>0.78090000000000004</v>
      </c>
      <c r="F17" s="4">
        <v>0.78100000000000003</v>
      </c>
      <c r="G17" s="4">
        <v>0.75719999999999998</v>
      </c>
      <c r="H17" s="4">
        <v>0.54790000000000005</v>
      </c>
      <c r="I17" s="4">
        <v>0.63590000000000002</v>
      </c>
      <c r="J17" s="4">
        <v>0.63570000000000004</v>
      </c>
      <c r="L17" s="4"/>
    </row>
    <row r="18" spans="1:12" x14ac:dyDescent="0.4">
      <c r="A18" s="3" t="s">
        <v>17</v>
      </c>
      <c r="B18" s="1" t="s">
        <v>13</v>
      </c>
      <c r="C18" s="1">
        <v>666</v>
      </c>
      <c r="D18" s="4">
        <v>0.73880000000000001</v>
      </c>
      <c r="E18" s="4">
        <v>0.80349999999999999</v>
      </c>
      <c r="F18" s="4">
        <v>0.80359999999999998</v>
      </c>
      <c r="G18" s="4">
        <v>0.77759999999999996</v>
      </c>
      <c r="H18" s="4">
        <v>0.60409999999999997</v>
      </c>
      <c r="I18" s="4">
        <v>0.67030000000000001</v>
      </c>
      <c r="J18" s="4">
        <v>0.68</v>
      </c>
      <c r="L18" s="4"/>
    </row>
    <row r="19" spans="1:12" x14ac:dyDescent="0.4">
      <c r="A19" s="1"/>
      <c r="B19" s="1"/>
      <c r="C19" s="1"/>
      <c r="D19" t="str">
        <f xml:space="preserve"> TEXT(AVERAGE(D14:D18),"0.0000") &amp; "±" &amp; TEXT(_xlfn.STDEV.S(D14:D18),"0.0000")</f>
        <v>0.7217±0.0163</v>
      </c>
      <c r="E19" t="str">
        <f t="shared" ref="E19:J19" si="2" xml:space="preserve"> TEXT(AVERAGE(E14:E18),"0.0000") &amp; "±" &amp; TEXT(_xlfn.STDEV.S(E14:E18),"0.0000")</f>
        <v>0.7864±0.0117</v>
      </c>
      <c r="F19" t="str">
        <f t="shared" si="2"/>
        <v>0.7865±0.0116</v>
      </c>
      <c r="G19" t="str">
        <f t="shared" si="2"/>
        <v>0.7554±0.0218</v>
      </c>
      <c r="H19" t="str">
        <f t="shared" si="2"/>
        <v>0.5982±0.0350</v>
      </c>
      <c r="I19" t="str">
        <f t="shared" si="2"/>
        <v>0.6541±0.0159</v>
      </c>
      <c r="J19" t="str">
        <f t="shared" si="2"/>
        <v>0.6669±0.0208</v>
      </c>
    </row>
    <row r="20" spans="1:12" x14ac:dyDescent="0.4">
      <c r="A20" s="3" t="s">
        <v>17</v>
      </c>
      <c r="B20" s="1" t="s">
        <v>14</v>
      </c>
      <c r="C20" s="1">
        <v>42</v>
      </c>
      <c r="D20" s="4">
        <v>0.82020000000000004</v>
      </c>
      <c r="E20" s="4">
        <v>0.81440000000000001</v>
      </c>
      <c r="F20" s="4">
        <v>0.81510000000000005</v>
      </c>
      <c r="G20" s="4">
        <v>0.79490000000000005</v>
      </c>
      <c r="H20" s="4">
        <v>0.62839999999999996</v>
      </c>
      <c r="I20" s="4">
        <v>0.77029999999999998</v>
      </c>
      <c r="J20" s="4">
        <v>0.70189999999999997</v>
      </c>
      <c r="L20" s="4"/>
    </row>
    <row r="21" spans="1:12" x14ac:dyDescent="0.4">
      <c r="A21" s="3" t="s">
        <v>17</v>
      </c>
      <c r="B21" s="1" t="s">
        <v>14</v>
      </c>
      <c r="C21" s="1">
        <v>1234</v>
      </c>
      <c r="D21" s="4">
        <v>0.83130000000000004</v>
      </c>
      <c r="E21" s="4">
        <v>0.81699999999999995</v>
      </c>
      <c r="F21" s="4">
        <v>0.81769999999999998</v>
      </c>
      <c r="G21" s="4">
        <v>0.67459999999999998</v>
      </c>
      <c r="H21" s="4">
        <v>0.77029999999999998</v>
      </c>
      <c r="I21" s="4">
        <v>0.74129999999999996</v>
      </c>
      <c r="J21" s="4">
        <v>0.71919999999999995</v>
      </c>
      <c r="L21" s="4"/>
    </row>
    <row r="22" spans="1:12" x14ac:dyDescent="0.4">
      <c r="A22" s="3" t="s">
        <v>17</v>
      </c>
      <c r="B22" s="1" t="s">
        <v>14</v>
      </c>
      <c r="C22" s="1">
        <v>2025</v>
      </c>
      <c r="D22" s="4">
        <v>0.8488</v>
      </c>
      <c r="E22" s="4">
        <v>0.83560000000000001</v>
      </c>
      <c r="F22" s="4">
        <v>0.83620000000000005</v>
      </c>
      <c r="G22" s="4">
        <v>0.68510000000000004</v>
      </c>
      <c r="H22" s="4">
        <v>0.83779999999999999</v>
      </c>
      <c r="I22" s="4">
        <v>0.76449999999999996</v>
      </c>
      <c r="J22" s="4">
        <v>0.75380000000000003</v>
      </c>
      <c r="L22" s="4"/>
    </row>
    <row r="23" spans="1:12" x14ac:dyDescent="0.4">
      <c r="A23" s="3" t="s">
        <v>17</v>
      </c>
      <c r="B23" s="1" t="s">
        <v>14</v>
      </c>
      <c r="C23" s="1">
        <v>12345</v>
      </c>
      <c r="D23" s="4">
        <v>0.84189999999999998</v>
      </c>
      <c r="E23" s="4">
        <v>0.82289999999999996</v>
      </c>
      <c r="F23" s="4">
        <v>0.8236</v>
      </c>
      <c r="G23" s="4">
        <v>0.75890000000000002</v>
      </c>
      <c r="H23" s="4">
        <v>0.72299999999999998</v>
      </c>
      <c r="I23" s="4">
        <v>0.78200000000000003</v>
      </c>
      <c r="J23" s="4">
        <v>0.74050000000000005</v>
      </c>
      <c r="L23" s="4"/>
    </row>
    <row r="24" spans="1:12" x14ac:dyDescent="0.4">
      <c r="A24" s="3" t="s">
        <v>17</v>
      </c>
      <c r="B24" s="1" t="s">
        <v>14</v>
      </c>
      <c r="C24" s="1">
        <v>666</v>
      </c>
      <c r="D24" s="4">
        <v>0.8427</v>
      </c>
      <c r="E24" s="4">
        <v>0.84009999999999996</v>
      </c>
      <c r="F24" s="4">
        <v>0.8407</v>
      </c>
      <c r="G24" s="4">
        <v>0.7278</v>
      </c>
      <c r="H24" s="4">
        <v>0.77700000000000002</v>
      </c>
      <c r="I24" s="4">
        <v>0.77910000000000001</v>
      </c>
      <c r="J24" s="4">
        <v>0.75160000000000005</v>
      </c>
      <c r="L24" s="4"/>
    </row>
    <row r="25" spans="1:12" x14ac:dyDescent="0.4">
      <c r="A25" s="1"/>
      <c r="B25" s="1"/>
      <c r="C25" s="1"/>
      <c r="D25" t="str">
        <f xml:space="preserve"> TEXT(AVERAGE(D20:D24),"0.0000") &amp; "±" &amp; TEXT(_xlfn.STDEV.S(D20:D24),"0.0000")</f>
        <v>0.8370±0.0113</v>
      </c>
      <c r="E25" t="str">
        <f t="shared" ref="E25:J25" si="3" xml:space="preserve"> TEXT(AVERAGE(E20:E24),"0.0000") &amp; "±" &amp; TEXT(_xlfn.STDEV.S(E20:E24),"0.0000")</f>
        <v>0.8260±0.0114</v>
      </c>
      <c r="F25" t="str">
        <f t="shared" si="3"/>
        <v>0.8267±0.0113</v>
      </c>
      <c r="G25" t="str">
        <f t="shared" si="3"/>
        <v>0.7283±0.0503</v>
      </c>
      <c r="H25" t="str">
        <f t="shared" si="3"/>
        <v>0.7473±0.0780</v>
      </c>
      <c r="I25" t="str">
        <f t="shared" si="3"/>
        <v>0.7674±0.0162</v>
      </c>
      <c r="J25" t="str">
        <f t="shared" si="3"/>
        <v>0.7334±0.0223</v>
      </c>
    </row>
    <row r="26" spans="1:12" x14ac:dyDescent="0.4">
      <c r="A26" s="3" t="s">
        <v>17</v>
      </c>
      <c r="B26" s="1" t="s">
        <v>15</v>
      </c>
      <c r="C26" s="1">
        <v>42</v>
      </c>
      <c r="D26" s="4">
        <v>0.74580000000000002</v>
      </c>
      <c r="E26" s="4">
        <v>0.76349999999999996</v>
      </c>
      <c r="F26" s="4">
        <v>0.76490000000000002</v>
      </c>
      <c r="G26" s="4">
        <v>0.68420000000000003</v>
      </c>
      <c r="H26" s="4">
        <v>0.74590000000000001</v>
      </c>
      <c r="I26" s="4">
        <v>0.68530000000000002</v>
      </c>
      <c r="J26" s="4">
        <v>0.7137</v>
      </c>
      <c r="L26" s="4"/>
    </row>
    <row r="27" spans="1:12" x14ac:dyDescent="0.4">
      <c r="A27" s="3" t="s">
        <v>17</v>
      </c>
      <c r="B27" s="1" t="s">
        <v>15</v>
      </c>
      <c r="C27" s="1">
        <v>1234</v>
      </c>
      <c r="D27" s="4">
        <v>0.74550000000000005</v>
      </c>
      <c r="E27" s="4">
        <v>0.77880000000000005</v>
      </c>
      <c r="F27" s="4">
        <v>0.78</v>
      </c>
      <c r="G27" s="4">
        <v>0.60870000000000002</v>
      </c>
      <c r="H27" s="4">
        <v>0.80330000000000001</v>
      </c>
      <c r="I27" s="4">
        <v>0.625</v>
      </c>
      <c r="J27" s="4">
        <v>0.69259999999999999</v>
      </c>
      <c r="L27" s="4"/>
    </row>
    <row r="28" spans="1:12" x14ac:dyDescent="0.4">
      <c r="A28" s="3" t="s">
        <v>17</v>
      </c>
      <c r="B28" s="1" t="s">
        <v>15</v>
      </c>
      <c r="C28" s="1">
        <v>2025</v>
      </c>
      <c r="D28" s="4">
        <v>0.77039999999999997</v>
      </c>
      <c r="E28" s="4">
        <v>0.79579999999999995</v>
      </c>
      <c r="F28" s="4">
        <v>0.79690000000000005</v>
      </c>
      <c r="G28" s="4">
        <v>0.68669999999999998</v>
      </c>
      <c r="H28" s="4">
        <v>0.84430000000000005</v>
      </c>
      <c r="I28" s="4">
        <v>0.71550000000000002</v>
      </c>
      <c r="J28" s="4">
        <v>0.75729999999999997</v>
      </c>
      <c r="L28" s="4"/>
    </row>
    <row r="29" spans="1:12" x14ac:dyDescent="0.4">
      <c r="A29" s="3" t="s">
        <v>17</v>
      </c>
      <c r="B29" s="1" t="s">
        <v>15</v>
      </c>
      <c r="C29" s="1">
        <v>12345</v>
      </c>
      <c r="D29" s="4">
        <v>0.73950000000000005</v>
      </c>
      <c r="E29" s="4">
        <v>0.75149999999999995</v>
      </c>
      <c r="F29" s="4">
        <v>0.754</v>
      </c>
      <c r="G29" s="4">
        <v>0.65580000000000005</v>
      </c>
      <c r="H29" s="4">
        <v>0.82789999999999997</v>
      </c>
      <c r="I29" s="4">
        <v>0.68100000000000005</v>
      </c>
      <c r="J29" s="4">
        <v>0.7319</v>
      </c>
      <c r="L29" s="4"/>
    </row>
    <row r="30" spans="1:12" x14ac:dyDescent="0.4">
      <c r="A30" s="3" t="s">
        <v>17</v>
      </c>
      <c r="B30" s="1" t="s">
        <v>15</v>
      </c>
      <c r="C30" s="1">
        <v>666</v>
      </c>
      <c r="D30" s="4">
        <v>0.7671</v>
      </c>
      <c r="E30" s="4">
        <v>0.8125</v>
      </c>
      <c r="F30" s="4">
        <v>0.81340000000000001</v>
      </c>
      <c r="G30" s="4">
        <v>0.60919999999999996</v>
      </c>
      <c r="H30" s="4">
        <v>0.86890000000000001</v>
      </c>
      <c r="I30" s="4">
        <v>0.63790000000000002</v>
      </c>
      <c r="J30" s="4">
        <v>0.71619999999999995</v>
      </c>
      <c r="L30" s="4"/>
    </row>
    <row r="31" spans="1:12" x14ac:dyDescent="0.4">
      <c r="D31" t="str">
        <f xml:space="preserve"> TEXT(AVERAGE(D26:D30),"0.0000") &amp; "±" &amp; TEXT(_xlfn.STDEV.S(D26:D30),"0.0000")</f>
        <v>0.7537±0.0141</v>
      </c>
      <c r="E31" t="str">
        <f t="shared" ref="E31:J31" si="4" xml:space="preserve"> TEXT(AVERAGE(E26:E30),"0.0000") &amp; "±" &amp; TEXT(_xlfn.STDEV.S(E26:E30),"0.0000")</f>
        <v>0.7804±0.0244</v>
      </c>
      <c r="F31" t="str">
        <f t="shared" si="4"/>
        <v>0.7818±0.0239</v>
      </c>
      <c r="G31" t="str">
        <f t="shared" si="4"/>
        <v>0.6489±0.0385</v>
      </c>
      <c r="H31" t="str">
        <f t="shared" si="4"/>
        <v>0.8181±0.0469</v>
      </c>
      <c r="I31" t="str">
        <f t="shared" si="4"/>
        <v>0.6689±0.0370</v>
      </c>
      <c r="J31" t="str">
        <f t="shared" si="4"/>
        <v>0.7223±0.0240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5180-57AC-4BB6-B1CC-6E162588BEA5}">
  <dimension ref="A1:J31"/>
  <sheetViews>
    <sheetView topLeftCell="A28" workbookViewId="0">
      <selection activeCell="K7" sqref="K7"/>
    </sheetView>
  </sheetViews>
  <sheetFormatPr defaultRowHeight="18.75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3" t="s">
        <v>18</v>
      </c>
      <c r="B2" s="1" t="s">
        <v>11</v>
      </c>
      <c r="C2" s="1">
        <v>42</v>
      </c>
      <c r="D2" s="4">
        <v>0.93049999999999999</v>
      </c>
      <c r="E2" s="4">
        <v>0.92479999999999996</v>
      </c>
      <c r="F2" s="4">
        <v>0.92490000000000006</v>
      </c>
      <c r="G2" s="4">
        <v>0.78200000000000003</v>
      </c>
      <c r="H2" s="4">
        <v>0.92330000000000001</v>
      </c>
      <c r="I2" s="4">
        <v>0.84140000000000004</v>
      </c>
      <c r="J2" s="4">
        <v>0.8468</v>
      </c>
    </row>
    <row r="3" spans="1:10" x14ac:dyDescent="0.4">
      <c r="A3" s="3" t="s">
        <v>18</v>
      </c>
      <c r="B3" s="1" t="s">
        <v>11</v>
      </c>
      <c r="C3" s="1">
        <v>1234</v>
      </c>
      <c r="D3" s="4">
        <v>0.94330000000000003</v>
      </c>
      <c r="E3" s="4">
        <v>0.94</v>
      </c>
      <c r="F3" s="4">
        <v>0.94010000000000005</v>
      </c>
      <c r="G3" s="4">
        <v>0.90480000000000005</v>
      </c>
      <c r="H3" s="4">
        <v>0.84650000000000003</v>
      </c>
      <c r="I3" s="4">
        <v>0.88480000000000003</v>
      </c>
      <c r="J3" s="4">
        <v>0.87470000000000003</v>
      </c>
    </row>
    <row r="4" spans="1:10" x14ac:dyDescent="0.4">
      <c r="A4" s="3" t="s">
        <v>18</v>
      </c>
      <c r="B4" s="1" t="s">
        <v>11</v>
      </c>
      <c r="C4" s="1">
        <v>2025</v>
      </c>
      <c r="D4" s="4">
        <v>0.94110000000000005</v>
      </c>
      <c r="E4" s="4">
        <v>0.94199999999999995</v>
      </c>
      <c r="F4" s="4">
        <v>0.94199999999999995</v>
      </c>
      <c r="G4" s="4">
        <v>0.88019999999999998</v>
      </c>
      <c r="H4" s="4">
        <v>0.83660000000000001</v>
      </c>
      <c r="I4" s="4">
        <v>0.86839999999999995</v>
      </c>
      <c r="J4" s="4">
        <v>0.8579</v>
      </c>
    </row>
    <row r="5" spans="1:10" x14ac:dyDescent="0.4">
      <c r="A5" s="3" t="s">
        <v>18</v>
      </c>
      <c r="B5" s="1" t="s">
        <v>11</v>
      </c>
      <c r="C5" s="1">
        <v>12345</v>
      </c>
      <c r="D5" s="4">
        <v>0.93420000000000003</v>
      </c>
      <c r="E5" s="4">
        <v>0.93100000000000005</v>
      </c>
      <c r="F5" s="4">
        <v>0.93110000000000004</v>
      </c>
      <c r="G5" s="4">
        <v>0.81310000000000004</v>
      </c>
      <c r="H5" s="4">
        <v>0.89359999999999995</v>
      </c>
      <c r="I5" s="4">
        <v>0.85189999999999999</v>
      </c>
      <c r="J5" s="4">
        <v>0.85140000000000005</v>
      </c>
    </row>
    <row r="6" spans="1:10" x14ac:dyDescent="0.4">
      <c r="A6" s="3" t="s">
        <v>18</v>
      </c>
      <c r="B6" s="1" t="s">
        <v>11</v>
      </c>
      <c r="C6" s="1">
        <v>666</v>
      </c>
      <c r="D6" s="4">
        <v>0.94499999999999995</v>
      </c>
      <c r="E6" s="4">
        <v>0.94499999999999995</v>
      </c>
      <c r="F6" s="4">
        <v>0.94510000000000005</v>
      </c>
      <c r="G6" s="4">
        <v>0.88660000000000005</v>
      </c>
      <c r="H6" s="4">
        <v>0.87129999999999996</v>
      </c>
      <c r="I6" s="4">
        <v>0.88600000000000001</v>
      </c>
      <c r="J6" s="4">
        <v>0.87890000000000001</v>
      </c>
    </row>
    <row r="7" spans="1:10" x14ac:dyDescent="0.4">
      <c r="A7" s="1"/>
      <c r="B7" s="1"/>
      <c r="C7" s="1"/>
      <c r="D7" t="str">
        <f xml:space="preserve"> TEXT(AVERAGE(D2:D6),"0.0000") &amp; "±" &amp; TEXT(_xlfn.STDEV.S(D2:D6),"0.0000")</f>
        <v>0.9388±0.0062</v>
      </c>
      <c r="E7" t="str">
        <f t="shared" ref="E7:J7" si="0" xml:space="preserve"> TEXT(AVERAGE(E2:E6),"0.0000") &amp; "±" &amp; TEXT(_xlfn.STDEV.S(E2:E6),"0.0000")</f>
        <v>0.9366±0.0084</v>
      </c>
      <c r="F7" t="str">
        <f t="shared" si="0"/>
        <v>0.9366±0.0084</v>
      </c>
      <c r="G7" t="str">
        <f t="shared" si="0"/>
        <v>0.8533±0.0529</v>
      </c>
      <c r="H7" t="str">
        <f t="shared" si="0"/>
        <v>0.8743±0.0353</v>
      </c>
      <c r="I7" t="str">
        <f t="shared" si="0"/>
        <v>0.8665±0.0198</v>
      </c>
      <c r="J7" t="str">
        <f t="shared" si="0"/>
        <v>0.8619±0.0142</v>
      </c>
    </row>
    <row r="8" spans="1:10" x14ac:dyDescent="0.4">
      <c r="A8" s="3" t="s">
        <v>18</v>
      </c>
      <c r="B8" s="1" t="s">
        <v>12</v>
      </c>
      <c r="C8" s="1">
        <v>42</v>
      </c>
      <c r="D8" s="4">
        <v>0.93889999999999996</v>
      </c>
      <c r="E8" s="4">
        <v>0.93630000000000002</v>
      </c>
      <c r="F8" s="4">
        <v>0.93640000000000001</v>
      </c>
      <c r="G8" s="4">
        <v>0.85109999999999997</v>
      </c>
      <c r="H8" s="4">
        <v>0.87839999999999996</v>
      </c>
      <c r="I8" s="4">
        <v>0.8639</v>
      </c>
      <c r="J8" s="4">
        <v>0.86460000000000004</v>
      </c>
    </row>
    <row r="9" spans="1:10" x14ac:dyDescent="0.4">
      <c r="A9" s="3" t="s">
        <v>18</v>
      </c>
      <c r="B9" s="1" t="s">
        <v>12</v>
      </c>
      <c r="C9" s="1">
        <v>1234</v>
      </c>
      <c r="D9" s="4">
        <v>0.93089999999999995</v>
      </c>
      <c r="E9" s="4">
        <v>0.92159999999999997</v>
      </c>
      <c r="F9" s="4">
        <v>0.92169999999999996</v>
      </c>
      <c r="G9" s="4">
        <v>0.83509999999999995</v>
      </c>
      <c r="H9" s="4">
        <v>0.88880000000000003</v>
      </c>
      <c r="I9" s="4">
        <v>0.85829999999999995</v>
      </c>
      <c r="J9" s="4">
        <v>0.86109999999999998</v>
      </c>
    </row>
    <row r="10" spans="1:10" x14ac:dyDescent="0.4">
      <c r="A10" s="3" t="s">
        <v>18</v>
      </c>
      <c r="B10" s="1" t="s">
        <v>12</v>
      </c>
      <c r="C10" s="1">
        <v>2025</v>
      </c>
      <c r="D10" s="4">
        <v>0.93679999999999997</v>
      </c>
      <c r="E10" s="4">
        <v>0.93300000000000005</v>
      </c>
      <c r="F10" s="4">
        <v>0.93310000000000004</v>
      </c>
      <c r="G10" s="4">
        <v>0.80779999999999996</v>
      </c>
      <c r="H10" s="4">
        <v>0.93</v>
      </c>
      <c r="I10" s="4">
        <v>0.85599999999999998</v>
      </c>
      <c r="J10" s="4">
        <v>0.86460000000000004</v>
      </c>
    </row>
    <row r="11" spans="1:10" x14ac:dyDescent="0.4">
      <c r="A11" s="3" t="s">
        <v>18</v>
      </c>
      <c r="B11" s="1" t="s">
        <v>12</v>
      </c>
      <c r="C11" s="1">
        <v>12345</v>
      </c>
      <c r="D11" s="4">
        <v>0.93400000000000005</v>
      </c>
      <c r="E11" s="4">
        <v>0.93369999999999997</v>
      </c>
      <c r="F11" s="4">
        <v>0.93379999999999996</v>
      </c>
      <c r="G11" s="4">
        <v>0.85729999999999995</v>
      </c>
      <c r="H11" s="4">
        <v>0.86119999999999997</v>
      </c>
      <c r="I11" s="4">
        <v>0.86050000000000004</v>
      </c>
      <c r="J11" s="4">
        <v>0.85929999999999995</v>
      </c>
    </row>
    <row r="12" spans="1:10" x14ac:dyDescent="0.4">
      <c r="A12" s="3" t="s">
        <v>18</v>
      </c>
      <c r="B12" s="1" t="s">
        <v>12</v>
      </c>
      <c r="C12" s="1">
        <v>666</v>
      </c>
      <c r="D12" s="4">
        <v>0.93279999999999996</v>
      </c>
      <c r="E12" s="4">
        <v>0.92969999999999997</v>
      </c>
      <c r="F12" s="4">
        <v>0.92969999999999997</v>
      </c>
      <c r="G12" s="4">
        <v>0.80659999999999998</v>
      </c>
      <c r="H12" s="4">
        <v>0.90369999999999995</v>
      </c>
      <c r="I12" s="4">
        <v>0.84519999999999995</v>
      </c>
      <c r="J12" s="4">
        <v>0.85229999999999995</v>
      </c>
    </row>
    <row r="13" spans="1:10" x14ac:dyDescent="0.4">
      <c r="A13" s="1"/>
      <c r="B13" s="1"/>
      <c r="C13" s="1"/>
      <c r="D13" t="str">
        <f t="shared" ref="D13:J13" si="1" xml:space="preserve"> TEXT(AVERAGE(D8:D12),"0.0000") &amp; "±" &amp; TEXT(_xlfn.STDEV.S(D8:D12),"0.0000")</f>
        <v>0.9347±0.0032</v>
      </c>
      <c r="E13" t="str">
        <f t="shared" si="1"/>
        <v>0.9309±0.0057</v>
      </c>
      <c r="F13" t="str">
        <f t="shared" si="1"/>
        <v>0.9309±0.0057</v>
      </c>
      <c r="G13" t="str">
        <f t="shared" si="1"/>
        <v>0.8316±0.0237</v>
      </c>
      <c r="H13" t="str">
        <f t="shared" si="1"/>
        <v>0.8924±0.0261</v>
      </c>
      <c r="I13" t="str">
        <f t="shared" si="1"/>
        <v>0.8568±0.0071</v>
      </c>
      <c r="J13" t="str">
        <f t="shared" si="1"/>
        <v>0.8604±0.0051</v>
      </c>
    </row>
    <row r="14" spans="1:10" x14ac:dyDescent="0.4">
      <c r="A14" s="3" t="s">
        <v>18</v>
      </c>
      <c r="B14" s="1" t="s">
        <v>13</v>
      </c>
      <c r="C14" s="1">
        <v>42</v>
      </c>
      <c r="D14" s="4">
        <v>0.55520000000000003</v>
      </c>
      <c r="E14" s="4">
        <v>0.63919999999999999</v>
      </c>
      <c r="F14" s="4">
        <v>0.63949999999999996</v>
      </c>
      <c r="G14" s="4">
        <v>0.55869999999999997</v>
      </c>
      <c r="H14" s="4">
        <v>0.65249999999999997</v>
      </c>
      <c r="I14" s="4">
        <v>0.52539999999999998</v>
      </c>
      <c r="J14" s="4">
        <v>0.60199999999999998</v>
      </c>
    </row>
    <row r="15" spans="1:10" x14ac:dyDescent="0.4">
      <c r="A15" s="3" t="s">
        <v>18</v>
      </c>
      <c r="B15" s="1" t="s">
        <v>13</v>
      </c>
      <c r="C15" s="1">
        <v>1234</v>
      </c>
      <c r="D15" s="4">
        <v>0.56840000000000002</v>
      </c>
      <c r="E15" s="4">
        <v>0.62529999999999997</v>
      </c>
      <c r="F15" s="4">
        <v>0.62560000000000004</v>
      </c>
      <c r="G15" s="4">
        <v>0.59209999999999996</v>
      </c>
      <c r="H15" s="4">
        <v>0.82679999999999998</v>
      </c>
      <c r="I15" s="4">
        <v>0.59150000000000003</v>
      </c>
      <c r="J15" s="4">
        <v>0.69</v>
      </c>
    </row>
    <row r="16" spans="1:10" x14ac:dyDescent="0.4">
      <c r="A16" s="3" t="s">
        <v>18</v>
      </c>
      <c r="B16" s="1" t="s">
        <v>13</v>
      </c>
      <c r="C16" s="1">
        <v>2025</v>
      </c>
      <c r="D16" s="4">
        <v>0.58140000000000003</v>
      </c>
      <c r="E16" s="4">
        <v>0.65339999999999998</v>
      </c>
      <c r="F16" s="4">
        <v>0.65380000000000005</v>
      </c>
      <c r="G16" s="4">
        <v>0.58560000000000001</v>
      </c>
      <c r="H16" s="4">
        <v>0.66520000000000001</v>
      </c>
      <c r="I16" s="4">
        <v>0.55700000000000005</v>
      </c>
      <c r="J16" s="4">
        <v>0.62290000000000001</v>
      </c>
    </row>
    <row r="17" spans="1:10" x14ac:dyDescent="0.4">
      <c r="A17" s="3" t="s">
        <v>18</v>
      </c>
      <c r="B17" s="1" t="s">
        <v>13</v>
      </c>
      <c r="C17" s="1">
        <v>12345</v>
      </c>
      <c r="D17" s="4">
        <v>0.50180000000000002</v>
      </c>
      <c r="E17" s="4">
        <v>0.58079999999999998</v>
      </c>
      <c r="F17" s="4">
        <v>0.58130000000000004</v>
      </c>
      <c r="G17" s="4">
        <v>0.55030000000000001</v>
      </c>
      <c r="H17" s="4">
        <v>0.7853</v>
      </c>
      <c r="I17" s="4">
        <v>0.52890000000000004</v>
      </c>
      <c r="J17" s="4">
        <v>0.64710000000000001</v>
      </c>
    </row>
    <row r="18" spans="1:10" x14ac:dyDescent="0.4">
      <c r="A18" s="3" t="s">
        <v>18</v>
      </c>
      <c r="B18" s="1" t="s">
        <v>13</v>
      </c>
      <c r="C18" s="1">
        <v>666</v>
      </c>
      <c r="D18" s="4">
        <v>0.49690000000000001</v>
      </c>
      <c r="E18" s="4">
        <v>0.5373</v>
      </c>
      <c r="F18" s="4">
        <v>0.53790000000000004</v>
      </c>
      <c r="G18" s="4">
        <v>0.55500000000000005</v>
      </c>
      <c r="H18" s="4">
        <v>0.67059999999999997</v>
      </c>
      <c r="I18" s="4">
        <v>0.52310000000000001</v>
      </c>
      <c r="J18" s="4">
        <v>0.60729999999999995</v>
      </c>
    </row>
    <row r="19" spans="1:10" x14ac:dyDescent="0.4">
      <c r="A19" s="1"/>
      <c r="B19" s="1"/>
      <c r="C19" s="1"/>
      <c r="D19" t="str">
        <f xml:space="preserve"> TEXT(AVERAGE(D14:D18),"0.0000") &amp; "±" &amp; TEXT(_xlfn.STDEV.S(D14:D18),"0.0000")</f>
        <v>0.5407±0.0389</v>
      </c>
      <c r="E19" t="str">
        <f t="shared" ref="E19:J19" si="2" xml:space="preserve"> TEXT(AVERAGE(E14:E18),"0.0000") &amp; "±" &amp; TEXT(_xlfn.STDEV.S(E14:E18),"0.0000")</f>
        <v>0.6072±0.0476</v>
      </c>
      <c r="F19" t="str">
        <f t="shared" si="2"/>
        <v>0.6076±0.0475</v>
      </c>
      <c r="G19" t="str">
        <f t="shared" si="2"/>
        <v>0.5683±0.0191</v>
      </c>
      <c r="H19" t="str">
        <f t="shared" si="2"/>
        <v>0.7201±0.0801</v>
      </c>
      <c r="I19" t="str">
        <f t="shared" si="2"/>
        <v>0.5452±0.0293</v>
      </c>
      <c r="J19" t="str">
        <f t="shared" si="2"/>
        <v>0.6339±0.0359</v>
      </c>
    </row>
    <row r="20" spans="1:10" x14ac:dyDescent="0.4">
      <c r="A20" s="3" t="s">
        <v>18</v>
      </c>
      <c r="B20" s="1" t="s">
        <v>14</v>
      </c>
      <c r="C20" s="1">
        <v>42</v>
      </c>
      <c r="D20" s="4">
        <v>0.94630000000000003</v>
      </c>
      <c r="E20" s="4">
        <v>0.94199999999999995</v>
      </c>
      <c r="F20" s="4">
        <v>0.94210000000000005</v>
      </c>
      <c r="G20" s="4">
        <v>0.9052</v>
      </c>
      <c r="H20" s="4">
        <v>0.83409999999999995</v>
      </c>
      <c r="I20" s="4">
        <v>0.875</v>
      </c>
      <c r="J20" s="4">
        <v>0.86819999999999997</v>
      </c>
    </row>
    <row r="21" spans="1:10" x14ac:dyDescent="0.4">
      <c r="A21" s="3" t="s">
        <v>18</v>
      </c>
      <c r="B21" s="1" t="s">
        <v>14</v>
      </c>
      <c r="C21" s="1">
        <v>1234</v>
      </c>
      <c r="D21" s="4">
        <v>0.95279999999999998</v>
      </c>
      <c r="E21" s="4">
        <v>0.95030000000000003</v>
      </c>
      <c r="F21" s="4">
        <v>0.95040000000000002</v>
      </c>
      <c r="G21" s="4">
        <v>0.88239999999999996</v>
      </c>
      <c r="H21" s="4">
        <v>0.85150000000000003</v>
      </c>
      <c r="I21" s="4">
        <v>0.87070000000000003</v>
      </c>
      <c r="J21" s="4">
        <v>0.86670000000000003</v>
      </c>
    </row>
    <row r="22" spans="1:10" x14ac:dyDescent="0.4">
      <c r="A22" s="3" t="s">
        <v>18</v>
      </c>
      <c r="B22" s="1" t="s">
        <v>14</v>
      </c>
      <c r="C22" s="1">
        <v>2025</v>
      </c>
      <c r="D22" s="4">
        <v>0.96109999999999995</v>
      </c>
      <c r="E22" s="4">
        <v>0.96150000000000002</v>
      </c>
      <c r="F22" s="4">
        <v>0.96150000000000002</v>
      </c>
      <c r="G22" s="4">
        <v>0.88739999999999997</v>
      </c>
      <c r="H22" s="4">
        <v>0.8952</v>
      </c>
      <c r="I22" s="4">
        <v>0.89219999999999999</v>
      </c>
      <c r="J22" s="4">
        <v>0.89129999999999998</v>
      </c>
    </row>
    <row r="23" spans="1:10" x14ac:dyDescent="0.4">
      <c r="A23" s="3" t="s">
        <v>18</v>
      </c>
      <c r="B23" s="1" t="s">
        <v>14</v>
      </c>
      <c r="C23" s="1">
        <v>12345</v>
      </c>
      <c r="D23" s="4">
        <v>0.95650000000000002</v>
      </c>
      <c r="E23" s="4">
        <v>0.95779999999999998</v>
      </c>
      <c r="F23" s="4">
        <v>0.95789999999999997</v>
      </c>
      <c r="G23" s="4">
        <v>0.88790000000000002</v>
      </c>
      <c r="H23" s="4">
        <v>0.86460000000000004</v>
      </c>
      <c r="I23" s="4">
        <v>0.87929999999999997</v>
      </c>
      <c r="J23" s="4">
        <v>0.87609999999999999</v>
      </c>
    </row>
    <row r="24" spans="1:10" x14ac:dyDescent="0.4">
      <c r="A24" s="3" t="s">
        <v>18</v>
      </c>
      <c r="B24" s="1" t="s">
        <v>14</v>
      </c>
      <c r="C24" s="1">
        <v>666</v>
      </c>
      <c r="D24" s="4">
        <v>0.94269999999999998</v>
      </c>
      <c r="E24" s="4">
        <v>0.93720000000000003</v>
      </c>
      <c r="F24" s="4">
        <v>0.93740000000000001</v>
      </c>
      <c r="G24" s="4">
        <v>0.85309999999999997</v>
      </c>
      <c r="H24" s="4">
        <v>0.91269999999999996</v>
      </c>
      <c r="I24" s="4">
        <v>0.87929999999999997</v>
      </c>
      <c r="J24" s="4">
        <v>0.88190000000000002</v>
      </c>
    </row>
    <row r="25" spans="1:10" x14ac:dyDescent="0.4">
      <c r="A25" s="1"/>
      <c r="B25" s="1"/>
      <c r="C25" s="1"/>
      <c r="D25" t="str">
        <f xml:space="preserve"> TEXT(AVERAGE(D20:D24),"0.0000") &amp; "±" &amp; TEXT(_xlfn.STDEV.S(D20:D24),"0.0000")</f>
        <v>0.9519±0.0075</v>
      </c>
      <c r="E25" t="str">
        <f t="shared" ref="E25:J25" si="3" xml:space="preserve"> TEXT(AVERAGE(E20:E24),"0.0000") &amp; "±" &amp; TEXT(_xlfn.STDEV.S(E20:E24),"0.0000")</f>
        <v>0.9498±0.0103</v>
      </c>
      <c r="F25" t="str">
        <f t="shared" si="3"/>
        <v>0.9499±0.0102</v>
      </c>
      <c r="G25" t="str">
        <f t="shared" si="3"/>
        <v>0.8832±0.0189</v>
      </c>
      <c r="H25" t="str">
        <f t="shared" si="3"/>
        <v>0.8716±0.0320</v>
      </c>
      <c r="I25" t="str">
        <f t="shared" si="3"/>
        <v>0.8793±0.0080</v>
      </c>
      <c r="J25" t="str">
        <f t="shared" si="3"/>
        <v>0.8768±0.0102</v>
      </c>
    </row>
    <row r="26" spans="1:10" x14ac:dyDescent="0.4">
      <c r="A26" s="3" t="s">
        <v>18</v>
      </c>
      <c r="B26" s="1" t="s">
        <v>15</v>
      </c>
      <c r="C26" s="1">
        <v>42</v>
      </c>
      <c r="D26" s="4">
        <v>0.65359999999999996</v>
      </c>
      <c r="E26" s="4">
        <v>0.70750000000000002</v>
      </c>
      <c r="F26" s="4">
        <v>0.71130000000000004</v>
      </c>
      <c r="G26" s="4">
        <v>0.69110000000000005</v>
      </c>
      <c r="H26" s="4">
        <v>0.88539999999999996</v>
      </c>
      <c r="I26" s="4">
        <v>0.69369999999999998</v>
      </c>
      <c r="J26" s="4">
        <v>0.77629999999999999</v>
      </c>
    </row>
    <row r="27" spans="1:10" x14ac:dyDescent="0.4">
      <c r="A27" s="3" t="s">
        <v>18</v>
      </c>
      <c r="B27" s="1" t="s">
        <v>15</v>
      </c>
      <c r="C27" s="1">
        <v>1234</v>
      </c>
      <c r="D27" s="4">
        <v>0.59650000000000003</v>
      </c>
      <c r="E27" s="4">
        <v>0.70760000000000001</v>
      </c>
      <c r="F27" s="4">
        <v>0.71099999999999997</v>
      </c>
      <c r="G27" s="4">
        <v>0.61219999999999997</v>
      </c>
      <c r="H27" s="4">
        <v>0.9375</v>
      </c>
      <c r="I27" s="4">
        <v>0.60619999999999996</v>
      </c>
      <c r="J27" s="4">
        <v>0.74070000000000003</v>
      </c>
    </row>
    <row r="28" spans="1:10" x14ac:dyDescent="0.4">
      <c r="A28" s="3" t="s">
        <v>18</v>
      </c>
      <c r="B28" s="1" t="s">
        <v>15</v>
      </c>
      <c r="C28" s="1">
        <v>2025</v>
      </c>
      <c r="D28" s="4">
        <v>0.60089999999999999</v>
      </c>
      <c r="E28" s="4">
        <v>0.67789999999999995</v>
      </c>
      <c r="F28" s="4">
        <v>0.68510000000000004</v>
      </c>
      <c r="G28" s="4">
        <v>0.68030000000000002</v>
      </c>
      <c r="H28" s="4">
        <v>0.86460000000000004</v>
      </c>
      <c r="I28" s="4">
        <v>0.67500000000000004</v>
      </c>
      <c r="J28" s="4">
        <v>0.76149999999999995</v>
      </c>
    </row>
    <row r="29" spans="1:10" x14ac:dyDescent="0.4">
      <c r="A29" s="3" t="s">
        <v>18</v>
      </c>
      <c r="B29" s="1" t="s">
        <v>15</v>
      </c>
      <c r="C29" s="1">
        <v>12345</v>
      </c>
      <c r="D29" s="4">
        <v>0.5988</v>
      </c>
      <c r="E29" s="4">
        <v>0.68759999999999999</v>
      </c>
      <c r="F29" s="4">
        <v>0.69099999999999995</v>
      </c>
      <c r="G29" s="4">
        <v>0.61609999999999998</v>
      </c>
      <c r="H29" s="4">
        <v>0.71879999999999999</v>
      </c>
      <c r="I29" s="4">
        <v>0.5625</v>
      </c>
      <c r="J29" s="4">
        <v>0.66349999999999998</v>
      </c>
    </row>
    <row r="30" spans="1:10" x14ac:dyDescent="0.4">
      <c r="A30" s="3" t="s">
        <v>18</v>
      </c>
      <c r="B30" s="1" t="s">
        <v>15</v>
      </c>
      <c r="C30" s="1">
        <v>666</v>
      </c>
      <c r="D30" s="4">
        <v>0.69910000000000005</v>
      </c>
      <c r="E30" s="4">
        <v>0.78910000000000002</v>
      </c>
      <c r="F30" s="4">
        <v>0.79139999999999999</v>
      </c>
      <c r="G30" s="4">
        <v>0.69230000000000003</v>
      </c>
      <c r="H30" s="4">
        <v>0.75</v>
      </c>
      <c r="I30" s="4">
        <v>0.65</v>
      </c>
      <c r="J30" s="4">
        <v>0.72</v>
      </c>
    </row>
    <row r="31" spans="1:10" x14ac:dyDescent="0.4">
      <c r="D31" t="str">
        <f xml:space="preserve"> TEXT(AVERAGE(D26:D30),"0.0000") &amp; "±" &amp; TEXT(_xlfn.STDEV.S(D26:D30),"0.0000")</f>
        <v>0.6298±0.0455</v>
      </c>
      <c r="E31" t="str">
        <f t="shared" ref="E31:J31" si="4" xml:space="preserve"> TEXT(AVERAGE(E26:E30),"0.0000") &amp; "±" &amp; TEXT(_xlfn.STDEV.S(E26:E30),"0.0000")</f>
        <v>0.7139±0.0439</v>
      </c>
      <c r="F31" t="str">
        <f t="shared" si="4"/>
        <v>0.7180±0.0427</v>
      </c>
      <c r="G31" t="str">
        <f t="shared" si="4"/>
        <v>0.6584±0.0407</v>
      </c>
      <c r="H31" t="str">
        <f t="shared" si="4"/>
        <v>0.8313±0.0930</v>
      </c>
      <c r="I31" t="str">
        <f t="shared" si="4"/>
        <v>0.6375±0.0532</v>
      </c>
      <c r="J31" t="str">
        <f t="shared" si="4"/>
        <v>0.7324±0.0440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celegans</vt:lpstr>
      <vt:lpstr>human</vt:lpstr>
      <vt:lpstr>Article</vt:lpstr>
      <vt:lpstr>Patent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</dc:creator>
  <cp:lastModifiedBy>牛　文涛</cp:lastModifiedBy>
  <dcterms:created xsi:type="dcterms:W3CDTF">2015-06-05T18:19:34Z</dcterms:created>
  <dcterms:modified xsi:type="dcterms:W3CDTF">2026-07-29T08:46:16Z</dcterms:modified>
</cp:coreProperties>
</file>